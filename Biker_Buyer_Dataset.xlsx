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adeking/Documents/"/>
    </mc:Choice>
  </mc:AlternateContent>
  <xr:revisionPtr revIDLastSave="0" documentId="8_{76A88680-5C95-DC4E-8B36-37DE8B002F48}" xr6:coauthVersionLast="47" xr6:coauthVersionMax="47" xr10:uidLastSave="{00000000-0000-0000-0000-000000000000}"/>
  <bookViews>
    <workbookView xWindow="0" yWindow="0" windowWidth="38400" windowHeight="21600" activeTab="2" xr2:uid="{00000000-000D-0000-FFFF-FFFF00000000}"/>
  </bookViews>
  <sheets>
    <sheet name="bike_buyers" sheetId="1" r:id="rId1"/>
    <sheet name="Sheet2" sheetId="3" r:id="rId2"/>
    <sheet name="Dashboard" sheetId="4" r:id="rId3"/>
  </sheets>
  <definedNames>
    <definedName name="_xlnm._FilterDatabase" localSheetId="0" hidden="1">bike_buyers!$A$1:$O$1001</definedName>
    <definedName name="Slicer_Age">#N/A</definedName>
    <definedName name="Slicer_Marital_Full">#N/A</definedName>
    <definedName name="Slicer_Purchased_Bike1">#N/A</definedName>
  </definedNames>
  <calcPr calcId="191029"/>
  <pivotCaches>
    <pivotCache cacheId="2"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 l="1"/>
  <c r="U24" i="1"/>
  <c r="U23" i="1"/>
  <c r="R18" i="1"/>
  <c r="R36" i="1" l="1"/>
  <c r="R35" i="1"/>
  <c r="R34" i="1"/>
  <c r="R33" i="1"/>
  <c r="R32" i="1"/>
  <c r="R31" i="1"/>
  <c r="R30" i="1"/>
  <c r="R29" i="1"/>
  <c r="R28" i="1"/>
  <c r="R27"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R11" i="1"/>
  <c r="U11" i="1"/>
  <c r="U19" i="1"/>
  <c r="U18" i="1"/>
  <c r="U16" i="1"/>
  <c r="U17" i="1"/>
  <c r="U14" i="1"/>
  <c r="U13" i="1"/>
  <c r="U12" i="1"/>
  <c r="U10" i="1"/>
  <c r="U9" i="1"/>
  <c r="R15" i="1"/>
  <c r="R17" i="1"/>
  <c r="R7" i="1"/>
  <c r="R19" i="1"/>
  <c r="R16" i="1"/>
  <c r="R14" i="1"/>
  <c r="R13" i="1"/>
  <c r="R12" i="1"/>
  <c r="R10" i="1"/>
  <c r="R9" i="1"/>
  <c r="R24" i="1" l="1"/>
  <c r="R26" i="1"/>
  <c r="R23" i="1"/>
  <c r="R25" i="1"/>
  <c r="U15" i="1"/>
</calcChain>
</file>

<file path=xl/sharedStrings.xml><?xml version="1.0" encoding="utf-8"?>
<sst xmlns="http://schemas.openxmlformats.org/spreadsheetml/2006/main" count="8158" uniqueCount="75">
  <si>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</si>
  <si>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</si>
  <si>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</si>
  <si>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</si>
  <si>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</si>
  <si>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</si>
  <si>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</si>
  <si>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</si>
  <si>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</si>
  <si>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</si>
  <si>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</si>
  <si>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</si>
  <si>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</si>
  <si>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</si>
  <si>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</si>
  <si>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</si>
  <si>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</si>
  <si>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</si>
  <si>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</si>
  <si>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</si>
  <si>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</si>
  <si>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</si>
  <si>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</si>
  <si>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</si>
  <si>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</si>
  <si>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</si>
  <si>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</si>
  <si>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</si>
  <si>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</si>
  <si>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</si>
  <si>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</si>
  <si>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</si>
  <si>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</si>
  <si>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</si>
  <si>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</si>
  <si>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</si>
  <si>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</si>
  <si>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Mean</t>
  </si>
  <si>
    <t>Standard Error</t>
  </si>
  <si>
    <t>Median</t>
  </si>
  <si>
    <t>Mode</t>
  </si>
  <si>
    <t>Standard Deviation</t>
  </si>
  <si>
    <t>Sample Variance</t>
  </si>
  <si>
    <t>Kurtosis</t>
  </si>
  <si>
    <t>Skewness</t>
  </si>
  <si>
    <t>Range</t>
  </si>
  <si>
    <t>Minimum</t>
  </si>
  <si>
    <t>Maximum</t>
  </si>
  <si>
    <t>Sum</t>
  </si>
  <si>
    <t>Count</t>
  </si>
  <si>
    <t>Female</t>
  </si>
  <si>
    <t>Male</t>
  </si>
  <si>
    <t>Marital Full</t>
  </si>
  <si>
    <t>Gender Full</t>
  </si>
  <si>
    <t>Single</t>
  </si>
  <si>
    <t>Biker Summary</t>
  </si>
  <si>
    <t>Who purchased a bike — and who didn’t?</t>
  </si>
  <si>
    <t>Row Labels</t>
  </si>
  <si>
    <t>Grand Total</t>
  </si>
  <si>
    <t>Sum of ID</t>
  </si>
  <si>
    <t>What’s the average income of customers who bought a bike vs. those who didn’t?</t>
  </si>
  <si>
    <t>Average of Income</t>
  </si>
  <si>
    <t>Are males or females more likely to buy bikes?</t>
  </si>
  <si>
    <t>Column Labels</t>
  </si>
  <si>
    <t>What is the relationship between age and bike purchase?</t>
  </si>
  <si>
    <t>Which region has the highest percentage of bike buyers?</t>
  </si>
  <si>
    <t>How does education level affect bike purchases?</t>
  </si>
  <si>
    <t>How does commute distance affect bike buying?</t>
  </si>
  <si>
    <t>Count of ID</t>
  </si>
  <si>
    <t>Which degree holder puchased bike most?</t>
  </si>
  <si>
    <t>Count of Purchased Bike</t>
  </si>
  <si>
    <t>Total Customer</t>
  </si>
  <si>
    <t>Purchased Customers</t>
  </si>
  <si>
    <t>Purchased Rate</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</si>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</sst>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i/>
      <sz val="11"/>
      <color theme="1"/>
      <name val="Calibri"/>
      <family val="2"/>
      <scheme val="minor"/>
    </font>
    <font>
      <b/>
      <sz val="13.5"/>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64" fontId="0" fillId="0" borderId="0" xfId="0" applyNumberFormat="1"/>
    <xf numFmtId="0" fontId="18" fillId="0" borderId="0" xfId="0" applyFont="1"/>
    <xf numFmtId="0" fontId="0" fillId="0" borderId="10" xfId="0" applyBorder="1"/>
    <xf numFmtId="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9" fillId="33" borderId="11" xfId="0" applyFont="1" applyFill="1" applyBorder="1" applyAlignment="1">
      <alignment horizontal="centerContinuous"/>
    </xf>
    <xf numFmtId="0" fontId="0" fillId="34" borderId="0" xfId="0" applyFill="1"/>
    <xf numFmtId="0" fontId="0" fillId="0" borderId="0" xfId="0" applyAlignment="1">
      <alignment horizontal="left" indent="1"/>
    </xf>
    <xf numFmtId="0" fontId="20" fillId="0" borderId="0" xfId="0" applyFont="1" applyAlignment="1">
      <alignment horizontal="center"/>
    </xf>
    <xf numFmtId="0" fontId="16" fillId="0" borderId="0" xfId="0" applyFont="1" applyAlignment="1">
      <alignment horizontal="center"/>
    </xf>
    <xf numFmtId="0" fontId="0" fillId="0" borderId="0" xfId="0" applyAlignment="1">
      <alignment horizontal="center"/>
    </xf>
    <xf numFmtId="0" fontId="0" fillId="33" borderId="0" xfId="0" applyFill="1" applyAlignment="1">
      <alignment horizontal="center"/>
    </xf>
    <xf numFmtId="0" fontId="0" fillId="0" borderId="0" xfId="0" applyNumberFormat="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fill>
        <patternFill patternType="solid">
          <fgColor indexed="64"/>
          <bgColor theme="5"/>
        </patternFill>
      </fill>
    </dxf>
    <dxf>
      <numFmt numFmtId="0" formatCode="General"/>
      <fill>
        <patternFill patternType="solid">
          <fgColor indexed="64"/>
          <bgColor theme="5"/>
        </patternFill>
      </fill>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[Biker_Buyer_Dataset.xlsx]Sheet2!PivotTable1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Buyer vs Non-buyer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RO"/>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F8-C241-B9D3-9B8C0FF97C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F8-C241-B9D3-9B8C0FF97C76}"/>
              </c:ext>
            </c:extLst>
          </c:dPt>
          <c:cat>
            <c:strRef>
              <c:f>Sheet2!$A$4:$A$6</c:f>
              <c:strCache>
                <c:ptCount val="2"/>
                <c:pt idx="0">
                  <c:v>No</c:v>
                </c:pt>
                <c:pt idx="1">
                  <c:v>Yes</c:v>
                </c:pt>
              </c:strCache>
            </c:strRef>
          </c:cat>
          <c:val>
            <c:numRef>
              <c:f>Sheet2!$B$4:$B$6</c:f>
              <c:numCache>
                <c:formatCode>General</c:formatCode>
                <c:ptCount val="2"/>
                <c:pt idx="0">
                  <c:v>10211854</c:v>
                </c:pt>
                <c:pt idx="1">
                  <c:v>9754138</c:v>
                </c:pt>
              </c:numCache>
            </c:numRef>
          </c:val>
          <c:extLst>
            <c:ext xmlns:c16="http://schemas.microsoft.com/office/drawing/2014/chart" uri="{C3380CC4-5D6E-409C-BE32-E72D297353CC}">
              <c16:uniqueId val="{00000000-C265-BE46-975E-3F699070660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[Biker_Buyer_Dataset.xlsx]Sheet2!PivotTable2</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RO"/>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Sheet2!$A$14:$A$16</c:f>
              <c:strCache>
                <c:ptCount val="2"/>
                <c:pt idx="0">
                  <c:v>No</c:v>
                </c:pt>
                <c:pt idx="1">
                  <c:v>Yes</c:v>
                </c:pt>
              </c:strCache>
            </c:strRef>
          </c:cat>
          <c:val>
            <c:numRef>
              <c:f>Sheet2!$B$14:$B$16</c:f>
              <c:numCache>
                <c:formatCode>"$"#,##0.00</c:formatCode>
                <c:ptCount val="2"/>
                <c:pt idx="0">
                  <c:v>54874.759152215796</c:v>
                </c:pt>
                <c:pt idx="1">
                  <c:v>57962.577962577961</c:v>
                </c:pt>
              </c:numCache>
            </c:numRef>
          </c:val>
          <c:extLst>
            <c:ext xmlns:c16="http://schemas.microsoft.com/office/drawing/2014/chart" uri="{C3380CC4-5D6E-409C-BE32-E72D297353CC}">
              <c16:uniqueId val="{00000000-77DF-7C44-90EC-F330516A818E}"/>
            </c:ext>
          </c:extLst>
        </c:ser>
        <c:dLbls>
          <c:showLegendKey val="0"/>
          <c:showVal val="0"/>
          <c:showCatName val="0"/>
          <c:showSerName val="0"/>
          <c:showPercent val="0"/>
          <c:showBubbleSize val="0"/>
        </c:dLbls>
        <c:gapWidth val="300"/>
        <c:overlap val="100"/>
        <c:serLines>
          <c:spPr>
            <a:ln w="9525" cap="flat" cmpd="sng" algn="ctr">
              <a:solidFill>
                <a:schemeClr val="tx1">
                  <a:lumMod val="35000"/>
                  <a:lumOff val="65000"/>
                </a:schemeClr>
              </a:solidFill>
              <a:round/>
            </a:ln>
            <a:effectLst/>
          </c:spPr>
        </c:serLines>
        <c:axId val="882887552"/>
        <c:axId val="881201536"/>
      </c:barChart>
      <c:catAx>
        <c:axId val="88288755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t>Customers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881201536"/>
        <c:crosses val="autoZero"/>
        <c:auto val="1"/>
        <c:lblAlgn val="ctr"/>
        <c:lblOffset val="100"/>
        <c:noMultiLvlLbl val="0"/>
      </c:catAx>
      <c:valAx>
        <c:axId val="88120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t>Average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title>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88288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[Biker_Buyer_Dataset.xlsx]Sheet2!PivotTable3</c:name>
    <c:fmtId val="5"/>
  </c:pivotSource>
  <c:chart>
    <c:autoTitleDeleted val="1"/>
    <c:pivotFmts>
      <c:pivotFmt>
        <c:idx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RO"/>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RO"/>
            </a:p>
          </c:txP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Sheet2!$B$29:$B$30</c:f>
              <c:strCache>
                <c:ptCount val="1"/>
                <c:pt idx="0">
                  <c:v>No</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R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Sheet2!$A$31:$A$37</c:f>
              <c:multiLvlStrCache>
                <c:ptCount val="4"/>
                <c:lvl>
                  <c:pt idx="0">
                    <c:v>Married</c:v>
                  </c:pt>
                  <c:pt idx="1">
                    <c:v>Single</c:v>
                  </c:pt>
                  <c:pt idx="2">
                    <c:v>Married</c:v>
                  </c:pt>
                  <c:pt idx="3">
                    <c:v>Single</c:v>
                  </c:pt>
                </c:lvl>
                <c:lvl>
                  <c:pt idx="0">
                    <c:v>Female</c:v>
                  </c:pt>
                  <c:pt idx="2">
                    <c:v>Male</c:v>
                  </c:pt>
                </c:lvl>
              </c:multiLvlStrCache>
            </c:multiLvlStrRef>
          </c:cat>
          <c:val>
            <c:numRef>
              <c:f>Sheet2!$B$31:$B$37</c:f>
              <c:numCache>
                <c:formatCode>0.00%</c:formatCode>
                <c:ptCount val="4"/>
                <c:pt idx="0">
                  <c:v>0.5441763796256659</c:v>
                </c:pt>
                <c:pt idx="1">
                  <c:v>0.46140724310260078</c:v>
                </c:pt>
                <c:pt idx="2">
                  <c:v>0.59318652175743281</c:v>
                </c:pt>
                <c:pt idx="3">
                  <c:v>0.42825591315520123</c:v>
                </c:pt>
              </c:numCache>
            </c:numRef>
          </c:val>
          <c:extLst>
            <c:ext xmlns:c16="http://schemas.microsoft.com/office/drawing/2014/chart" uri="{C3380CC4-5D6E-409C-BE32-E72D297353CC}">
              <c16:uniqueId val="{00000000-9FC8-E545-A149-859676A4A331}"/>
            </c:ext>
          </c:extLst>
        </c:ser>
        <c:ser>
          <c:idx val="1"/>
          <c:order val="1"/>
          <c:tx>
            <c:strRef>
              <c:f>Sheet2!$C$29:$C$30</c:f>
              <c:strCache>
                <c:ptCount val="1"/>
                <c:pt idx="0">
                  <c:v>Yes</c:v>
                </c:pt>
              </c:strCache>
            </c:strRef>
          </c:tx>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R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Sheet2!$A$31:$A$37</c:f>
              <c:multiLvlStrCache>
                <c:ptCount val="4"/>
                <c:lvl>
                  <c:pt idx="0">
                    <c:v>Married</c:v>
                  </c:pt>
                  <c:pt idx="1">
                    <c:v>Single</c:v>
                  </c:pt>
                  <c:pt idx="2">
                    <c:v>Married</c:v>
                  </c:pt>
                  <c:pt idx="3">
                    <c:v>Single</c:v>
                  </c:pt>
                </c:lvl>
                <c:lvl>
                  <c:pt idx="0">
                    <c:v>Female</c:v>
                  </c:pt>
                  <c:pt idx="2">
                    <c:v>Male</c:v>
                  </c:pt>
                </c:lvl>
              </c:multiLvlStrCache>
            </c:multiLvlStrRef>
          </c:cat>
          <c:val>
            <c:numRef>
              <c:f>Sheet2!$C$31:$C$37</c:f>
              <c:numCache>
                <c:formatCode>0.00%</c:formatCode>
                <c:ptCount val="4"/>
                <c:pt idx="0">
                  <c:v>0.45582362037433416</c:v>
                </c:pt>
                <c:pt idx="1">
                  <c:v>0.53859275689739916</c:v>
                </c:pt>
                <c:pt idx="2">
                  <c:v>0.40681347824256725</c:v>
                </c:pt>
                <c:pt idx="3">
                  <c:v>0.57174408684479883</c:v>
                </c:pt>
              </c:numCache>
            </c:numRef>
          </c:val>
          <c:extLst>
            <c:ext xmlns:c16="http://schemas.microsoft.com/office/drawing/2014/chart" uri="{C3380CC4-5D6E-409C-BE32-E72D297353CC}">
              <c16:uniqueId val="{00000001-9FC8-E545-A149-859676A4A331}"/>
            </c:ext>
          </c:extLst>
        </c:ser>
        <c:dLbls>
          <c:showLegendKey val="0"/>
          <c:showVal val="1"/>
          <c:showCatName val="0"/>
          <c:showSerName val="0"/>
          <c:showPercent val="0"/>
          <c:showBubbleSize val="0"/>
        </c:dLbls>
        <c:gapWidth val="150"/>
        <c:shape val="box"/>
        <c:axId val="1076541440"/>
        <c:axId val="814928800"/>
        <c:axId val="0"/>
      </c:bar3DChart>
      <c:catAx>
        <c:axId val="1076541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RO"/>
          </a:p>
        </c:txPr>
        <c:crossAx val="814928800"/>
        <c:crosses val="autoZero"/>
        <c:auto val="1"/>
        <c:lblAlgn val="ctr"/>
        <c:lblOffset val="100"/>
        <c:noMultiLvlLbl val="0"/>
      </c:catAx>
      <c:valAx>
        <c:axId val="814928800"/>
        <c:scaling>
          <c:orientation val="minMax"/>
        </c:scaling>
        <c:delete val="0"/>
        <c:axPos val="b"/>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RO"/>
          </a:p>
        </c:txPr>
        <c:crossAx val="1076541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R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[Biker_Buyer_Dataset.xlsx]Sheet2!PivotTable4</c:name>
    <c:fmtId val="8"/>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RO"/>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RO"/>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Sheet2!$B$51:$B$52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R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Sheet2!$A$53:$A$106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Sheet2!$B$53:$B$106</c:f>
              <c:numCache>
                <c:formatCode>0.00%</c:formatCode>
                <c:ptCount val="53"/>
                <c:pt idx="0">
                  <c:v>0.24381019320397285</c:v>
                </c:pt>
                <c:pt idx="1">
                  <c:v>0.46121419630365951</c:v>
                </c:pt>
                <c:pt idx="2">
                  <c:v>0.6766544451601183</c:v>
                </c:pt>
                <c:pt idx="3">
                  <c:v>0.51003946388337562</c:v>
                </c:pt>
                <c:pt idx="4">
                  <c:v>0.64742087415831306</c:v>
                </c:pt>
                <c:pt idx="5">
                  <c:v>0.85050757891809203</c:v>
                </c:pt>
                <c:pt idx="6">
                  <c:v>0.67975864518768014</c:v>
                </c:pt>
                <c:pt idx="7">
                  <c:v>0.55176861169444413</c:v>
                </c:pt>
                <c:pt idx="8">
                  <c:v>0.33778449108981734</c:v>
                </c:pt>
                <c:pt idx="9">
                  <c:v>0.34508854029700364</c:v>
                </c:pt>
                <c:pt idx="10">
                  <c:v>0.35313878332269966</c:v>
                </c:pt>
                <c:pt idx="11">
                  <c:v>0.12341306548047119</c:v>
                </c:pt>
                <c:pt idx="12">
                  <c:v>0.1029580202029159</c:v>
                </c:pt>
                <c:pt idx="13">
                  <c:v>0.19299864255791549</c:v>
                </c:pt>
                <c:pt idx="14">
                  <c:v>0.41770811365907778</c:v>
                </c:pt>
                <c:pt idx="15">
                  <c:v>0.57566381184299187</c:v>
                </c:pt>
                <c:pt idx="16">
                  <c:v>0.48323349776838148</c:v>
                </c:pt>
                <c:pt idx="17">
                  <c:v>0.66285889224378558</c:v>
                </c:pt>
                <c:pt idx="18">
                  <c:v>0.47309039374864109</c:v>
                </c:pt>
                <c:pt idx="19">
                  <c:v>0.54725801780931005</c:v>
                </c:pt>
                <c:pt idx="20">
                  <c:v>0.5820482639852963</c:v>
                </c:pt>
                <c:pt idx="21">
                  <c:v>0.41680362934516585</c:v>
                </c:pt>
                <c:pt idx="22">
                  <c:v>0.48110597353540707</c:v>
                </c:pt>
                <c:pt idx="23">
                  <c:v>0.59451357675508587</c:v>
                </c:pt>
                <c:pt idx="24">
                  <c:v>0.7137213926855307</c:v>
                </c:pt>
                <c:pt idx="25">
                  <c:v>0.56427213513260821</c:v>
                </c:pt>
                <c:pt idx="26">
                  <c:v>0.48568577237090105</c:v>
                </c:pt>
                <c:pt idx="27">
                  <c:v>0.40499213637055453</c:v>
                </c:pt>
                <c:pt idx="28">
                  <c:v>0.4744197547209118</c:v>
                </c:pt>
                <c:pt idx="29">
                  <c:v>0.35249077646186761</c:v>
                </c:pt>
                <c:pt idx="30">
                  <c:v>0.67691145095159044</c:v>
                </c:pt>
                <c:pt idx="31">
                  <c:v>0.84519678554342359</c:v>
                </c:pt>
                <c:pt idx="32">
                  <c:v>0.55733911876649878</c:v>
                </c:pt>
                <c:pt idx="33">
                  <c:v>0.64398263676165146</c:v>
                </c:pt>
                <c:pt idx="34">
                  <c:v>0.63494962928308785</c:v>
                </c:pt>
                <c:pt idx="35">
                  <c:v>0.48256303233383785</c:v>
                </c:pt>
                <c:pt idx="36">
                  <c:v>0.56834122283080124</c:v>
                </c:pt>
                <c:pt idx="37">
                  <c:v>0.68195275478542283</c:v>
                </c:pt>
                <c:pt idx="38">
                  <c:v>0.78285019686599899</c:v>
                </c:pt>
                <c:pt idx="39">
                  <c:v>0.67419463999423057</c:v>
                </c:pt>
                <c:pt idx="40">
                  <c:v>0.57527669167186724</c:v>
                </c:pt>
                <c:pt idx="41">
                  <c:v>0.61967786157186744</c:v>
                </c:pt>
                <c:pt idx="42">
                  <c:v>0.83280771361072492</c:v>
                </c:pt>
                <c:pt idx="43">
                  <c:v>1</c:v>
                </c:pt>
                <c:pt idx="44">
                  <c:v>1</c:v>
                </c:pt>
                <c:pt idx="45">
                  <c:v>0.84528698309617034</c:v>
                </c:pt>
                <c:pt idx="46">
                  <c:v>1</c:v>
                </c:pt>
                <c:pt idx="47">
                  <c:v>0</c:v>
                </c:pt>
                <c:pt idx="48">
                  <c:v>0.45355345634325062</c:v>
                </c:pt>
                <c:pt idx="49">
                  <c:v>0</c:v>
                </c:pt>
                <c:pt idx="50">
                  <c:v>0.44055722266949671</c:v>
                </c:pt>
                <c:pt idx="51">
                  <c:v>1</c:v>
                </c:pt>
                <c:pt idx="52">
                  <c:v>1</c:v>
                </c:pt>
              </c:numCache>
            </c:numRef>
          </c:val>
          <c:extLst>
            <c:ext xmlns:c16="http://schemas.microsoft.com/office/drawing/2014/chart" uri="{C3380CC4-5D6E-409C-BE32-E72D297353CC}">
              <c16:uniqueId val="{00000000-EA0E-3443-9897-866708108E6D}"/>
            </c:ext>
          </c:extLst>
        </c:ser>
        <c:ser>
          <c:idx val="1"/>
          <c:order val="1"/>
          <c:tx>
            <c:strRef>
              <c:f>Sheet2!$C$51:$C$52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R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Sheet2!$A$53:$A$106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Sheet2!$C$53:$C$106</c:f>
              <c:numCache>
                <c:formatCode>0.00%</c:formatCode>
                <c:ptCount val="53"/>
                <c:pt idx="0">
                  <c:v>0.7561898067960271</c:v>
                </c:pt>
                <c:pt idx="1">
                  <c:v>0.53878580369634044</c:v>
                </c:pt>
                <c:pt idx="2">
                  <c:v>0.32334555483988175</c:v>
                </c:pt>
                <c:pt idx="3">
                  <c:v>0.48996053611662432</c:v>
                </c:pt>
                <c:pt idx="4">
                  <c:v>0.35257912584168688</c:v>
                </c:pt>
                <c:pt idx="5">
                  <c:v>0.14949242108190794</c:v>
                </c:pt>
                <c:pt idx="6">
                  <c:v>0.3202413548123198</c:v>
                </c:pt>
                <c:pt idx="7">
                  <c:v>0.44823138830555587</c:v>
                </c:pt>
                <c:pt idx="8">
                  <c:v>0.66221550891018266</c:v>
                </c:pt>
                <c:pt idx="9">
                  <c:v>0.65491145970299636</c:v>
                </c:pt>
                <c:pt idx="10">
                  <c:v>0.64686121667730034</c:v>
                </c:pt>
                <c:pt idx="11">
                  <c:v>0.87658693451952885</c:v>
                </c:pt>
                <c:pt idx="12">
                  <c:v>0.89704197979708411</c:v>
                </c:pt>
                <c:pt idx="13">
                  <c:v>0.80700135744208445</c:v>
                </c:pt>
                <c:pt idx="14">
                  <c:v>0.58229188634092222</c:v>
                </c:pt>
                <c:pt idx="15">
                  <c:v>0.42433618815700813</c:v>
                </c:pt>
                <c:pt idx="16">
                  <c:v>0.51676650223161846</c:v>
                </c:pt>
                <c:pt idx="17">
                  <c:v>0.33714110775621442</c:v>
                </c:pt>
                <c:pt idx="18">
                  <c:v>0.52690960625135885</c:v>
                </c:pt>
                <c:pt idx="19">
                  <c:v>0.45274198219068995</c:v>
                </c:pt>
                <c:pt idx="20">
                  <c:v>0.4179517360147037</c:v>
                </c:pt>
                <c:pt idx="21">
                  <c:v>0.58319637065483421</c:v>
                </c:pt>
                <c:pt idx="22">
                  <c:v>0.51889402646459293</c:v>
                </c:pt>
                <c:pt idx="23">
                  <c:v>0.40548642324491413</c:v>
                </c:pt>
                <c:pt idx="24">
                  <c:v>0.2862786073144693</c:v>
                </c:pt>
                <c:pt idx="25">
                  <c:v>0.43572786486739179</c:v>
                </c:pt>
                <c:pt idx="26">
                  <c:v>0.51431422762909895</c:v>
                </c:pt>
                <c:pt idx="27">
                  <c:v>0.59500786362944547</c:v>
                </c:pt>
                <c:pt idx="28">
                  <c:v>0.5255802452790882</c:v>
                </c:pt>
                <c:pt idx="29">
                  <c:v>0.64750922353813234</c:v>
                </c:pt>
                <c:pt idx="30">
                  <c:v>0.32308854904840956</c:v>
                </c:pt>
                <c:pt idx="31">
                  <c:v>0.15480321445657638</c:v>
                </c:pt>
                <c:pt idx="32">
                  <c:v>0.44266088123350117</c:v>
                </c:pt>
                <c:pt idx="33">
                  <c:v>0.35601736323834854</c:v>
                </c:pt>
                <c:pt idx="34">
                  <c:v>0.3650503707169121</c:v>
                </c:pt>
                <c:pt idx="35">
                  <c:v>0.5174369676661621</c:v>
                </c:pt>
                <c:pt idx="36">
                  <c:v>0.43165877716919876</c:v>
                </c:pt>
                <c:pt idx="37">
                  <c:v>0.31804724521457722</c:v>
                </c:pt>
                <c:pt idx="38">
                  <c:v>0.21714980313400101</c:v>
                </c:pt>
                <c:pt idx="39">
                  <c:v>0.32580536000576943</c:v>
                </c:pt>
                <c:pt idx="40">
                  <c:v>0.42472330832813276</c:v>
                </c:pt>
                <c:pt idx="41">
                  <c:v>0.38032213842813256</c:v>
                </c:pt>
                <c:pt idx="42">
                  <c:v>0.16719228638927511</c:v>
                </c:pt>
                <c:pt idx="43">
                  <c:v>0</c:v>
                </c:pt>
                <c:pt idx="44">
                  <c:v>0</c:v>
                </c:pt>
                <c:pt idx="45">
                  <c:v>0.15471301690382963</c:v>
                </c:pt>
                <c:pt idx="46">
                  <c:v>0</c:v>
                </c:pt>
                <c:pt idx="47">
                  <c:v>1</c:v>
                </c:pt>
                <c:pt idx="48">
                  <c:v>0.54644654365674938</c:v>
                </c:pt>
                <c:pt idx="49">
                  <c:v>1</c:v>
                </c:pt>
                <c:pt idx="50">
                  <c:v>0.55944277733050329</c:v>
                </c:pt>
                <c:pt idx="51">
                  <c:v>0</c:v>
                </c:pt>
                <c:pt idx="52">
                  <c:v>0</c:v>
                </c:pt>
              </c:numCache>
            </c:numRef>
          </c:val>
          <c:extLst>
            <c:ext xmlns:c16="http://schemas.microsoft.com/office/drawing/2014/chart" uri="{C3380CC4-5D6E-409C-BE32-E72D297353CC}">
              <c16:uniqueId val="{00000001-EA0E-3443-9897-866708108E6D}"/>
            </c:ext>
          </c:extLst>
        </c:ser>
        <c:dLbls>
          <c:showLegendKey val="0"/>
          <c:showVal val="1"/>
          <c:showCatName val="0"/>
          <c:showSerName val="0"/>
          <c:showPercent val="0"/>
          <c:showBubbleSize val="0"/>
        </c:dLbls>
        <c:gapWidth val="75"/>
        <c:overlap val="100"/>
        <c:axId val="837195552"/>
        <c:axId val="1318596384"/>
      </c:barChart>
      <c:catAx>
        <c:axId val="837195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RO"/>
          </a:p>
        </c:txPr>
        <c:crossAx val="1318596384"/>
        <c:crosses val="autoZero"/>
        <c:auto val="1"/>
        <c:lblAlgn val="ctr"/>
        <c:lblOffset val="100"/>
        <c:noMultiLvlLbl val="0"/>
      </c:catAx>
      <c:valAx>
        <c:axId val="13185963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RO"/>
          </a:p>
        </c:txPr>
        <c:crossAx val="837195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R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[Biker_Buyer_Dataset.xlsx]Sheet2!PivotTable5</c:name>
    <c:fmtId val="5"/>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GB" b="0"/>
              <a:t>% of Bike Buyers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R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Sheet2!$J$4:$J$5</c:f>
              <c:strCache>
                <c:ptCount val="1"/>
                <c:pt idx="0">
                  <c:v>No</c:v>
                </c:pt>
              </c:strCache>
            </c:strRef>
          </c:tx>
          <c:spPr>
            <a:solidFill>
              <a:schemeClr val="accent1"/>
            </a:solidFill>
            <a:ln>
              <a:noFill/>
            </a:ln>
            <a:effectLst/>
          </c:spPr>
          <c:invertIfNegative val="0"/>
          <c:cat>
            <c:strRef>
              <c:f>Sheet2!$I$6:$I$9</c:f>
              <c:strCache>
                <c:ptCount val="3"/>
                <c:pt idx="0">
                  <c:v>Europe</c:v>
                </c:pt>
                <c:pt idx="1">
                  <c:v>North America</c:v>
                </c:pt>
                <c:pt idx="2">
                  <c:v>Pacific</c:v>
                </c:pt>
              </c:strCache>
            </c:strRef>
          </c:cat>
          <c:val>
            <c:numRef>
              <c:f>Sheet2!$J$6:$J$9</c:f>
              <c:numCache>
                <c:formatCode>0.00%</c:formatCode>
                <c:ptCount val="3"/>
                <c:pt idx="0">
                  <c:v>0.49043114785434067</c:v>
                </c:pt>
                <c:pt idx="1">
                  <c:v>0.56959444660568792</c:v>
                </c:pt>
                <c:pt idx="2">
                  <c:v>0.39312340995837863</c:v>
                </c:pt>
              </c:numCache>
            </c:numRef>
          </c:val>
          <c:extLst>
            <c:ext xmlns:c16="http://schemas.microsoft.com/office/drawing/2014/chart" uri="{C3380CC4-5D6E-409C-BE32-E72D297353CC}">
              <c16:uniqueId val="{00000000-0805-7841-95A5-56899CB9B047}"/>
            </c:ext>
          </c:extLst>
        </c:ser>
        <c:ser>
          <c:idx val="1"/>
          <c:order val="1"/>
          <c:tx>
            <c:strRef>
              <c:f>Sheet2!$K$4:$K$5</c:f>
              <c:strCache>
                <c:ptCount val="1"/>
                <c:pt idx="0">
                  <c:v>Yes</c:v>
                </c:pt>
              </c:strCache>
            </c:strRef>
          </c:tx>
          <c:spPr>
            <a:solidFill>
              <a:schemeClr val="accent2"/>
            </a:solidFill>
            <a:ln>
              <a:noFill/>
            </a:ln>
            <a:effectLst/>
          </c:spPr>
          <c:invertIfNegative val="0"/>
          <c:cat>
            <c:strRef>
              <c:f>Sheet2!$I$6:$I$9</c:f>
              <c:strCache>
                <c:ptCount val="3"/>
                <c:pt idx="0">
                  <c:v>Europe</c:v>
                </c:pt>
                <c:pt idx="1">
                  <c:v>North America</c:v>
                </c:pt>
                <c:pt idx="2">
                  <c:v>Pacific</c:v>
                </c:pt>
              </c:strCache>
            </c:strRef>
          </c:cat>
          <c:val>
            <c:numRef>
              <c:f>Sheet2!$K$6:$K$9</c:f>
              <c:numCache>
                <c:formatCode>0.00%</c:formatCode>
                <c:ptCount val="3"/>
                <c:pt idx="0">
                  <c:v>0.50956885214565939</c:v>
                </c:pt>
                <c:pt idx="1">
                  <c:v>0.43040555339431202</c:v>
                </c:pt>
                <c:pt idx="2">
                  <c:v>0.60687659004162131</c:v>
                </c:pt>
              </c:numCache>
            </c:numRef>
          </c:val>
          <c:extLst>
            <c:ext xmlns:c16="http://schemas.microsoft.com/office/drawing/2014/chart" uri="{C3380CC4-5D6E-409C-BE32-E72D297353CC}">
              <c16:uniqueId val="{00000001-0805-7841-95A5-56899CB9B047}"/>
            </c:ext>
          </c:extLst>
        </c:ser>
        <c:dLbls>
          <c:showLegendKey val="0"/>
          <c:showVal val="0"/>
          <c:showCatName val="0"/>
          <c:showSerName val="0"/>
          <c:showPercent val="0"/>
          <c:showBubbleSize val="0"/>
        </c:dLbls>
        <c:gapWidth val="95"/>
        <c:overlap val="100"/>
        <c:axId val="531162400"/>
        <c:axId val="976085584"/>
      </c:barChart>
      <c:catAx>
        <c:axId val="53116240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RO"/>
          </a:p>
        </c:txPr>
        <c:crossAx val="976085584"/>
        <c:crosses val="autoZero"/>
        <c:auto val="1"/>
        <c:lblAlgn val="ctr"/>
        <c:lblOffset val="100"/>
        <c:noMultiLvlLbl val="0"/>
      </c:catAx>
      <c:valAx>
        <c:axId val="976085584"/>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RO"/>
          </a:p>
        </c:txPr>
        <c:crossAx val="531162400"/>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RO"/>
          </a:p>
        </c:txPr>
      </c:dTable>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[Biker_Buyer_Dataset.xlsx]Sheet2!PivotTable6</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Sheet2!$J$30:$J$31</c:f>
              <c:strCache>
                <c:ptCount val="1"/>
                <c:pt idx="0">
                  <c:v>No</c:v>
                </c:pt>
              </c:strCache>
            </c:strRef>
          </c:tx>
          <c:spPr>
            <a:solidFill>
              <a:schemeClr val="accent1"/>
            </a:solidFill>
            <a:ln>
              <a:noFill/>
            </a:ln>
            <a:effectLst/>
          </c:spPr>
          <c:invertIfNegative val="0"/>
          <c:cat>
            <c:strRef>
              <c:f>Sheet2!$I$32:$I$37</c:f>
              <c:strCache>
                <c:ptCount val="5"/>
                <c:pt idx="0">
                  <c:v>Bachelors</c:v>
                </c:pt>
                <c:pt idx="1">
                  <c:v>Graduate Degree</c:v>
                </c:pt>
                <c:pt idx="2">
                  <c:v>High School</c:v>
                </c:pt>
                <c:pt idx="3">
                  <c:v>Partial College</c:v>
                </c:pt>
                <c:pt idx="4">
                  <c:v>Partial High School</c:v>
                </c:pt>
              </c:strCache>
            </c:strRef>
          </c:cat>
          <c:val>
            <c:numRef>
              <c:f>Sheet2!$J$32:$J$37</c:f>
              <c:numCache>
                <c:formatCode>0.00%</c:formatCode>
                <c:ptCount val="5"/>
                <c:pt idx="0">
                  <c:v>0.43127396300871929</c:v>
                </c:pt>
                <c:pt idx="1">
                  <c:v>0.43703408684158163</c:v>
                </c:pt>
                <c:pt idx="2">
                  <c:v>0.57242030782440168</c:v>
                </c:pt>
                <c:pt idx="3">
                  <c:v>0.53526344915088075</c:v>
                </c:pt>
                <c:pt idx="4">
                  <c:v>0.75242727578267254</c:v>
                </c:pt>
              </c:numCache>
            </c:numRef>
          </c:val>
          <c:extLst>
            <c:ext xmlns:c16="http://schemas.microsoft.com/office/drawing/2014/chart" uri="{C3380CC4-5D6E-409C-BE32-E72D297353CC}">
              <c16:uniqueId val="{00000000-1DB5-3B43-A0AD-E44903CF769B}"/>
            </c:ext>
          </c:extLst>
        </c:ser>
        <c:ser>
          <c:idx val="1"/>
          <c:order val="1"/>
          <c:tx>
            <c:strRef>
              <c:f>Sheet2!$K$30:$K$31</c:f>
              <c:strCache>
                <c:ptCount val="1"/>
                <c:pt idx="0">
                  <c:v>Yes</c:v>
                </c:pt>
              </c:strCache>
            </c:strRef>
          </c:tx>
          <c:spPr>
            <a:solidFill>
              <a:schemeClr val="accent2"/>
            </a:solidFill>
            <a:ln>
              <a:noFill/>
            </a:ln>
            <a:effectLst/>
          </c:spPr>
          <c:invertIfNegative val="0"/>
          <c:cat>
            <c:strRef>
              <c:f>Sheet2!$I$32:$I$37</c:f>
              <c:strCache>
                <c:ptCount val="5"/>
                <c:pt idx="0">
                  <c:v>Bachelors</c:v>
                </c:pt>
                <c:pt idx="1">
                  <c:v>Graduate Degree</c:v>
                </c:pt>
                <c:pt idx="2">
                  <c:v>High School</c:v>
                </c:pt>
                <c:pt idx="3">
                  <c:v>Partial College</c:v>
                </c:pt>
                <c:pt idx="4">
                  <c:v>Partial High School</c:v>
                </c:pt>
              </c:strCache>
            </c:strRef>
          </c:cat>
          <c:val>
            <c:numRef>
              <c:f>Sheet2!$K$32:$K$37</c:f>
              <c:numCache>
                <c:formatCode>0.00%</c:formatCode>
                <c:ptCount val="5"/>
                <c:pt idx="0">
                  <c:v>0.56872603699128066</c:v>
                </c:pt>
                <c:pt idx="1">
                  <c:v>0.56296591315841837</c:v>
                </c:pt>
                <c:pt idx="2">
                  <c:v>0.42757969217559838</c:v>
                </c:pt>
                <c:pt idx="3">
                  <c:v>0.46473655084911925</c:v>
                </c:pt>
                <c:pt idx="4">
                  <c:v>0.2475727242173274</c:v>
                </c:pt>
              </c:numCache>
            </c:numRef>
          </c:val>
          <c:extLst>
            <c:ext xmlns:c16="http://schemas.microsoft.com/office/drawing/2014/chart" uri="{C3380CC4-5D6E-409C-BE32-E72D297353CC}">
              <c16:uniqueId val="{00000001-1DB5-3B43-A0AD-E44903CF769B}"/>
            </c:ext>
          </c:extLst>
        </c:ser>
        <c:dLbls>
          <c:showLegendKey val="0"/>
          <c:showVal val="0"/>
          <c:showCatName val="0"/>
          <c:showSerName val="0"/>
          <c:showPercent val="0"/>
          <c:showBubbleSize val="0"/>
        </c:dLbls>
        <c:gapWidth val="150"/>
        <c:overlap val="100"/>
        <c:axId val="1957531248"/>
        <c:axId val="1957479776"/>
      </c:barChart>
      <c:catAx>
        <c:axId val="195753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1957479776"/>
        <c:crosses val="autoZero"/>
        <c:auto val="1"/>
        <c:lblAlgn val="ctr"/>
        <c:lblOffset val="100"/>
        <c:noMultiLvlLbl val="0"/>
      </c:catAx>
      <c:valAx>
        <c:axId val="1957479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195753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[Biker_Buyer_Dataset.xlsx]Sheet2!PivotTable7</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sz="1200"/>
              <a:t>Commute Distance Vs bike buying</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R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R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RO"/>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Sheet2!$Q$3:$Q$4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R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Sheet2!$P$5:$P$10</c:f>
              <c:strCache>
                <c:ptCount val="5"/>
                <c:pt idx="0">
                  <c:v>0-1 Miles</c:v>
                </c:pt>
                <c:pt idx="1">
                  <c:v>1-2 Miles</c:v>
                </c:pt>
                <c:pt idx="2">
                  <c:v>10+ Miles</c:v>
                </c:pt>
                <c:pt idx="3">
                  <c:v>2-5 Miles</c:v>
                </c:pt>
                <c:pt idx="4">
                  <c:v>5-10 Miles</c:v>
                </c:pt>
              </c:strCache>
            </c:strRef>
          </c:cat>
          <c:val>
            <c:numRef>
              <c:f>Sheet2!$Q$5:$Q$10</c:f>
              <c:numCache>
                <c:formatCode>0.00%</c:formatCode>
                <c:ptCount val="5"/>
                <c:pt idx="0">
                  <c:v>0.43378262131523293</c:v>
                </c:pt>
                <c:pt idx="1">
                  <c:v>0.54117393382812473</c:v>
                </c:pt>
                <c:pt idx="2">
                  <c:v>0.71935003492898963</c:v>
                </c:pt>
                <c:pt idx="3">
                  <c:v>0.40214330156603312</c:v>
                </c:pt>
                <c:pt idx="4">
                  <c:v>0.59942746317541451</c:v>
                </c:pt>
              </c:numCache>
            </c:numRef>
          </c:val>
          <c:extLst>
            <c:ext xmlns:c16="http://schemas.microsoft.com/office/drawing/2014/chart" uri="{C3380CC4-5D6E-409C-BE32-E72D297353CC}">
              <c16:uniqueId val="{00000000-314E-0F4E-B134-4BE6960AEA42}"/>
            </c:ext>
          </c:extLst>
        </c:ser>
        <c:ser>
          <c:idx val="1"/>
          <c:order val="1"/>
          <c:tx>
            <c:strRef>
              <c:f>Sheet2!$R$3:$R$4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R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Sheet2!$P$5:$P$10</c:f>
              <c:strCache>
                <c:ptCount val="5"/>
                <c:pt idx="0">
                  <c:v>0-1 Miles</c:v>
                </c:pt>
                <c:pt idx="1">
                  <c:v>1-2 Miles</c:v>
                </c:pt>
                <c:pt idx="2">
                  <c:v>10+ Miles</c:v>
                </c:pt>
                <c:pt idx="3">
                  <c:v>2-5 Miles</c:v>
                </c:pt>
                <c:pt idx="4">
                  <c:v>5-10 Miles</c:v>
                </c:pt>
              </c:strCache>
            </c:strRef>
          </c:cat>
          <c:val>
            <c:numRef>
              <c:f>Sheet2!$R$5:$R$10</c:f>
              <c:numCache>
                <c:formatCode>0.00%</c:formatCode>
                <c:ptCount val="5"/>
                <c:pt idx="0">
                  <c:v>0.56621737868476707</c:v>
                </c:pt>
                <c:pt idx="1">
                  <c:v>0.45882606617187532</c:v>
                </c:pt>
                <c:pt idx="2">
                  <c:v>0.28064996507101037</c:v>
                </c:pt>
                <c:pt idx="3">
                  <c:v>0.59785669843396694</c:v>
                </c:pt>
                <c:pt idx="4">
                  <c:v>0.40057253682458549</c:v>
                </c:pt>
              </c:numCache>
            </c:numRef>
          </c:val>
          <c:extLst>
            <c:ext xmlns:c16="http://schemas.microsoft.com/office/drawing/2014/chart" uri="{C3380CC4-5D6E-409C-BE32-E72D297353CC}">
              <c16:uniqueId val="{00000001-314E-0F4E-B134-4BE6960AEA42}"/>
            </c:ext>
          </c:extLst>
        </c:ser>
        <c:dLbls>
          <c:dLblPos val="ctr"/>
          <c:showLegendKey val="0"/>
          <c:showVal val="1"/>
          <c:showCatName val="0"/>
          <c:showSerName val="0"/>
          <c:showPercent val="0"/>
          <c:showBubbleSize val="0"/>
        </c:dLbls>
        <c:gapWidth val="79"/>
        <c:overlap val="100"/>
        <c:axId val="196704607"/>
        <c:axId val="2122108720"/>
      </c:barChart>
      <c:catAx>
        <c:axId val="19670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RO"/>
          </a:p>
        </c:txPr>
        <c:crossAx val="2122108720"/>
        <c:crosses val="autoZero"/>
        <c:auto val="1"/>
        <c:lblAlgn val="ctr"/>
        <c:lblOffset val="100"/>
        <c:noMultiLvlLbl val="0"/>
      </c:catAx>
      <c:valAx>
        <c:axId val="2122108720"/>
        <c:scaling>
          <c:orientation val="minMax"/>
        </c:scaling>
        <c:delete val="1"/>
        <c:axPos val="b"/>
        <c:numFmt formatCode="0.00%" sourceLinked="1"/>
        <c:majorTickMark val="none"/>
        <c:minorTickMark val="none"/>
        <c:tickLblPos val="nextTo"/>
        <c:crossAx val="19670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[Biker_Buyer_Dataset.xlsx]Sheet2!PivotTable8</c:name>
    <c:fmtId val="12"/>
  </c:pivotSource>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en-US" sz="1200"/>
              <a:t>Buyers vs Degree Holder</a:t>
            </a:r>
          </a:p>
        </c:rich>
      </c:tx>
      <c:overlay val="0"/>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en-RO"/>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2">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3">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4">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
        <c:spPr>
          <a:solidFill>
            <a:schemeClr val="accent1">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
        <c:spPr>
          <a:solidFill>
            <a:schemeClr val="accent2">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0"/>
        <c:spPr>
          <a:solidFill>
            <a:schemeClr val="accent3">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4">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Sheet2!$Q$31:$Q$32</c:f>
              <c:strCache>
                <c:ptCount val="1"/>
                <c:pt idx="0">
                  <c:v>No</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6CBA-E742-8A84-01222B5CAC47}"/>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6CBA-E742-8A84-01222B5CAC47}"/>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6CBA-E742-8A84-01222B5CAC47}"/>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6CBA-E742-8A84-01222B5CAC47}"/>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6CBA-E742-8A84-01222B5CAC47}"/>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6CBA-E742-8A84-01222B5CAC47}"/>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6CBA-E742-8A84-01222B5CAC47}"/>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6CBA-E742-8A84-01222B5CAC47}"/>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6CBA-E742-8A84-01222B5CAC47}"/>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6CBA-E742-8A84-01222B5CAC4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RO"/>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Sheet2!$P$33:$P$48</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Bachelors</c:v>
                  </c:pt>
                  <c:pt idx="2">
                    <c:v>Graduate Degree</c:v>
                  </c:pt>
                  <c:pt idx="4">
                    <c:v>High School</c:v>
                  </c:pt>
                  <c:pt idx="6">
                    <c:v>Partial College</c:v>
                  </c:pt>
                  <c:pt idx="8">
                    <c:v>Partial High School</c:v>
                  </c:pt>
                </c:lvl>
              </c:multiLvlStrCache>
            </c:multiLvlStrRef>
          </c:cat>
          <c:val>
            <c:numRef>
              <c:f>Sheet2!$Q$33:$Q$48</c:f>
              <c:numCache>
                <c:formatCode>General</c:formatCode>
                <c:ptCount val="10"/>
                <c:pt idx="0">
                  <c:v>66</c:v>
                </c:pt>
                <c:pt idx="1">
                  <c:v>71</c:v>
                </c:pt>
                <c:pt idx="2">
                  <c:v>40</c:v>
                </c:pt>
                <c:pt idx="3">
                  <c:v>40</c:v>
                </c:pt>
                <c:pt idx="4">
                  <c:v>46</c:v>
                </c:pt>
                <c:pt idx="5">
                  <c:v>54</c:v>
                </c:pt>
                <c:pt idx="6">
                  <c:v>70</c:v>
                </c:pt>
                <c:pt idx="7">
                  <c:v>76</c:v>
                </c:pt>
                <c:pt idx="8">
                  <c:v>28</c:v>
                </c:pt>
                <c:pt idx="9">
                  <c:v>28</c:v>
                </c:pt>
              </c:numCache>
            </c:numRef>
          </c:val>
          <c:extLst>
            <c:ext xmlns:c16="http://schemas.microsoft.com/office/drawing/2014/chart" uri="{C3380CC4-5D6E-409C-BE32-E72D297353CC}">
              <c16:uniqueId val="{00000000-6CBA-E742-8A84-01222B5CAC47}"/>
            </c:ext>
          </c:extLst>
        </c:ser>
        <c:ser>
          <c:idx val="1"/>
          <c:order val="1"/>
          <c:tx>
            <c:strRef>
              <c:f>Sheet2!$R$31:$R$32</c:f>
              <c:strCache>
                <c:ptCount val="1"/>
                <c:pt idx="0">
                  <c:v>Yes</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0-6CBA-E742-8A84-01222B5CAC47}"/>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1-6CBA-E742-8A84-01222B5CAC47}"/>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2-6CBA-E742-8A84-01222B5CAC47}"/>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3-6CBA-E742-8A84-01222B5CAC47}"/>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4-6CBA-E742-8A84-01222B5CAC47}"/>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5-6CBA-E742-8A84-01222B5CAC47}"/>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6-6CBA-E742-8A84-01222B5CAC47}"/>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7-6CBA-E742-8A84-01222B5CAC47}"/>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8-6CBA-E742-8A84-01222B5CAC47}"/>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9-6CBA-E742-8A84-01222B5CAC4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RO"/>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Sheet2!$P$33:$P$48</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Bachelors</c:v>
                  </c:pt>
                  <c:pt idx="2">
                    <c:v>Graduate Degree</c:v>
                  </c:pt>
                  <c:pt idx="4">
                    <c:v>High School</c:v>
                  </c:pt>
                  <c:pt idx="6">
                    <c:v>Partial College</c:v>
                  </c:pt>
                  <c:pt idx="8">
                    <c:v>Partial High School</c:v>
                  </c:pt>
                </c:lvl>
              </c:multiLvlStrCache>
            </c:multiLvlStrRef>
          </c:cat>
          <c:val>
            <c:numRef>
              <c:f>Sheet2!$R$33:$R$48</c:f>
              <c:numCache>
                <c:formatCode>General</c:formatCode>
                <c:ptCount val="10"/>
                <c:pt idx="0">
                  <c:v>80</c:v>
                </c:pt>
                <c:pt idx="1">
                  <c:v>89</c:v>
                </c:pt>
                <c:pt idx="2">
                  <c:v>53</c:v>
                </c:pt>
                <c:pt idx="3">
                  <c:v>41</c:v>
                </c:pt>
                <c:pt idx="4">
                  <c:v>34</c:v>
                </c:pt>
                <c:pt idx="5">
                  <c:v>45</c:v>
                </c:pt>
                <c:pt idx="6">
                  <c:v>62</c:v>
                </c:pt>
                <c:pt idx="7">
                  <c:v>57</c:v>
                </c:pt>
                <c:pt idx="8">
                  <c:v>10</c:v>
                </c:pt>
                <c:pt idx="9">
                  <c:v>10</c:v>
                </c:pt>
              </c:numCache>
            </c:numRef>
          </c:val>
          <c:extLst>
            <c:ext xmlns:c16="http://schemas.microsoft.com/office/drawing/2014/chart" uri="{C3380CC4-5D6E-409C-BE32-E72D297353CC}">
              <c16:uniqueId val="{00000035-6CBA-E742-8A84-01222B5CAC4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RO"/>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[Biker_Buyer_Dataset.xlsx]Sheet2!PivotTable3</c:name>
    <c:fmtId val="9"/>
  </c:pivotSource>
  <c:chart>
    <c:autoTitleDeleted val="1"/>
    <c:pivotFmts>
      <c:pivotFmt>
        <c:idx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RO"/>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RO"/>
            </a:p>
          </c:txP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RO"/>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RO"/>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RO"/>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RO"/>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Sheet2!$B$29:$B$30</c:f>
              <c:strCache>
                <c:ptCount val="1"/>
                <c:pt idx="0">
                  <c:v>No</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R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Sheet2!$A$31:$A$37</c:f>
              <c:multiLvlStrCache>
                <c:ptCount val="4"/>
                <c:lvl>
                  <c:pt idx="0">
                    <c:v>Married</c:v>
                  </c:pt>
                  <c:pt idx="1">
                    <c:v>Single</c:v>
                  </c:pt>
                  <c:pt idx="2">
                    <c:v>Married</c:v>
                  </c:pt>
                  <c:pt idx="3">
                    <c:v>Single</c:v>
                  </c:pt>
                </c:lvl>
                <c:lvl>
                  <c:pt idx="0">
                    <c:v>Female</c:v>
                  </c:pt>
                  <c:pt idx="2">
                    <c:v>Male</c:v>
                  </c:pt>
                </c:lvl>
              </c:multiLvlStrCache>
            </c:multiLvlStrRef>
          </c:cat>
          <c:val>
            <c:numRef>
              <c:f>Sheet2!$B$31:$B$37</c:f>
              <c:numCache>
                <c:formatCode>0.00%</c:formatCode>
                <c:ptCount val="4"/>
                <c:pt idx="0">
                  <c:v>0.5441763796256659</c:v>
                </c:pt>
                <c:pt idx="1">
                  <c:v>0.46140724310260078</c:v>
                </c:pt>
                <c:pt idx="2">
                  <c:v>0.59318652175743281</c:v>
                </c:pt>
                <c:pt idx="3">
                  <c:v>0.42825591315520123</c:v>
                </c:pt>
              </c:numCache>
            </c:numRef>
          </c:val>
          <c:extLst>
            <c:ext xmlns:c16="http://schemas.microsoft.com/office/drawing/2014/chart" uri="{C3380CC4-5D6E-409C-BE32-E72D297353CC}">
              <c16:uniqueId val="{00000000-CBA0-0542-8E19-4F352FAB098B}"/>
            </c:ext>
          </c:extLst>
        </c:ser>
        <c:ser>
          <c:idx val="1"/>
          <c:order val="1"/>
          <c:tx>
            <c:strRef>
              <c:f>Sheet2!$C$29:$C$30</c:f>
              <c:strCache>
                <c:ptCount val="1"/>
                <c:pt idx="0">
                  <c:v>Yes</c:v>
                </c:pt>
              </c:strCache>
            </c:strRef>
          </c:tx>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R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Sheet2!$A$31:$A$37</c:f>
              <c:multiLvlStrCache>
                <c:ptCount val="4"/>
                <c:lvl>
                  <c:pt idx="0">
                    <c:v>Married</c:v>
                  </c:pt>
                  <c:pt idx="1">
                    <c:v>Single</c:v>
                  </c:pt>
                  <c:pt idx="2">
                    <c:v>Married</c:v>
                  </c:pt>
                  <c:pt idx="3">
                    <c:v>Single</c:v>
                  </c:pt>
                </c:lvl>
                <c:lvl>
                  <c:pt idx="0">
                    <c:v>Female</c:v>
                  </c:pt>
                  <c:pt idx="2">
                    <c:v>Male</c:v>
                  </c:pt>
                </c:lvl>
              </c:multiLvlStrCache>
            </c:multiLvlStrRef>
          </c:cat>
          <c:val>
            <c:numRef>
              <c:f>Sheet2!$C$31:$C$37</c:f>
              <c:numCache>
                <c:formatCode>0.00%</c:formatCode>
                <c:ptCount val="4"/>
                <c:pt idx="0">
                  <c:v>0.45582362037433416</c:v>
                </c:pt>
                <c:pt idx="1">
                  <c:v>0.53859275689739916</c:v>
                </c:pt>
                <c:pt idx="2">
                  <c:v>0.40681347824256725</c:v>
                </c:pt>
                <c:pt idx="3">
                  <c:v>0.57174408684479883</c:v>
                </c:pt>
              </c:numCache>
            </c:numRef>
          </c:val>
          <c:extLst>
            <c:ext xmlns:c16="http://schemas.microsoft.com/office/drawing/2014/chart" uri="{C3380CC4-5D6E-409C-BE32-E72D297353CC}">
              <c16:uniqueId val="{00000001-CBA0-0542-8E19-4F352FAB098B}"/>
            </c:ext>
          </c:extLst>
        </c:ser>
        <c:dLbls>
          <c:showLegendKey val="0"/>
          <c:showVal val="1"/>
          <c:showCatName val="0"/>
          <c:showSerName val="0"/>
          <c:showPercent val="0"/>
          <c:showBubbleSize val="0"/>
        </c:dLbls>
        <c:gapWidth val="150"/>
        <c:shape val="box"/>
        <c:axId val="1076541440"/>
        <c:axId val="814928800"/>
        <c:axId val="0"/>
      </c:bar3DChart>
      <c:catAx>
        <c:axId val="1076541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RO"/>
          </a:p>
        </c:txPr>
        <c:crossAx val="814928800"/>
        <c:crosses val="autoZero"/>
        <c:auto val="1"/>
        <c:lblAlgn val="ctr"/>
        <c:lblOffset val="100"/>
        <c:noMultiLvlLbl val="0"/>
      </c:catAx>
      <c:valAx>
        <c:axId val="814928800"/>
        <c:scaling>
          <c:orientation val="minMax"/>
        </c:scaling>
        <c:delete val="0"/>
        <c:axPos val="b"/>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RO"/>
          </a:p>
        </c:txPr>
        <c:crossAx val="1076541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R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[Biker_Buyer_Dataset.xlsx]Sheet2!PivotTable5</c:name>
    <c:fmtId val="9"/>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GB" b="0"/>
              <a:t>% of Bike Buyers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R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Sheet2!$J$4:$J$5</c:f>
              <c:strCache>
                <c:ptCount val="1"/>
                <c:pt idx="0">
                  <c:v>No</c:v>
                </c:pt>
              </c:strCache>
            </c:strRef>
          </c:tx>
          <c:spPr>
            <a:solidFill>
              <a:schemeClr val="accent1"/>
            </a:solidFill>
            <a:ln>
              <a:noFill/>
            </a:ln>
            <a:effectLst/>
          </c:spPr>
          <c:invertIfNegative val="0"/>
          <c:cat>
            <c:strRef>
              <c:f>Sheet2!$I$6:$I$9</c:f>
              <c:strCache>
                <c:ptCount val="3"/>
                <c:pt idx="0">
                  <c:v>Europe</c:v>
                </c:pt>
                <c:pt idx="1">
                  <c:v>North America</c:v>
                </c:pt>
                <c:pt idx="2">
                  <c:v>Pacific</c:v>
                </c:pt>
              </c:strCache>
            </c:strRef>
          </c:cat>
          <c:val>
            <c:numRef>
              <c:f>Sheet2!$J$6:$J$9</c:f>
              <c:numCache>
                <c:formatCode>0.00%</c:formatCode>
                <c:ptCount val="3"/>
                <c:pt idx="0">
                  <c:v>0.49043114785434067</c:v>
                </c:pt>
                <c:pt idx="1">
                  <c:v>0.56959444660568792</c:v>
                </c:pt>
                <c:pt idx="2">
                  <c:v>0.39312340995837863</c:v>
                </c:pt>
              </c:numCache>
            </c:numRef>
          </c:val>
          <c:extLst>
            <c:ext xmlns:c16="http://schemas.microsoft.com/office/drawing/2014/chart" uri="{C3380CC4-5D6E-409C-BE32-E72D297353CC}">
              <c16:uniqueId val="{00000000-9EED-D147-ADEC-6B239A2A3A67}"/>
            </c:ext>
          </c:extLst>
        </c:ser>
        <c:ser>
          <c:idx val="1"/>
          <c:order val="1"/>
          <c:tx>
            <c:strRef>
              <c:f>Sheet2!$K$4:$K$5</c:f>
              <c:strCache>
                <c:ptCount val="1"/>
                <c:pt idx="0">
                  <c:v>Yes</c:v>
                </c:pt>
              </c:strCache>
            </c:strRef>
          </c:tx>
          <c:spPr>
            <a:solidFill>
              <a:schemeClr val="accent2"/>
            </a:solidFill>
            <a:ln>
              <a:noFill/>
            </a:ln>
            <a:effectLst/>
          </c:spPr>
          <c:invertIfNegative val="0"/>
          <c:cat>
            <c:strRef>
              <c:f>Sheet2!$I$6:$I$9</c:f>
              <c:strCache>
                <c:ptCount val="3"/>
                <c:pt idx="0">
                  <c:v>Europe</c:v>
                </c:pt>
                <c:pt idx="1">
                  <c:v>North America</c:v>
                </c:pt>
                <c:pt idx="2">
                  <c:v>Pacific</c:v>
                </c:pt>
              </c:strCache>
            </c:strRef>
          </c:cat>
          <c:val>
            <c:numRef>
              <c:f>Sheet2!$K$6:$K$9</c:f>
              <c:numCache>
                <c:formatCode>0.00%</c:formatCode>
                <c:ptCount val="3"/>
                <c:pt idx="0">
                  <c:v>0.50956885214565939</c:v>
                </c:pt>
                <c:pt idx="1">
                  <c:v>0.43040555339431202</c:v>
                </c:pt>
                <c:pt idx="2">
                  <c:v>0.60687659004162131</c:v>
                </c:pt>
              </c:numCache>
            </c:numRef>
          </c:val>
          <c:extLst>
            <c:ext xmlns:c16="http://schemas.microsoft.com/office/drawing/2014/chart" uri="{C3380CC4-5D6E-409C-BE32-E72D297353CC}">
              <c16:uniqueId val="{00000001-9EED-D147-ADEC-6B239A2A3A67}"/>
            </c:ext>
          </c:extLst>
        </c:ser>
        <c:dLbls>
          <c:showLegendKey val="0"/>
          <c:showVal val="0"/>
          <c:showCatName val="0"/>
          <c:showSerName val="0"/>
          <c:showPercent val="0"/>
          <c:showBubbleSize val="0"/>
        </c:dLbls>
        <c:gapWidth val="95"/>
        <c:overlap val="100"/>
        <c:axId val="531162400"/>
        <c:axId val="976085584"/>
      </c:barChart>
      <c:catAx>
        <c:axId val="53116240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RO"/>
          </a:p>
        </c:txPr>
        <c:crossAx val="976085584"/>
        <c:crosses val="autoZero"/>
        <c:auto val="1"/>
        <c:lblAlgn val="ctr"/>
        <c:lblOffset val="100"/>
        <c:noMultiLvlLbl val="0"/>
      </c:catAx>
      <c:valAx>
        <c:axId val="976085584"/>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RO"/>
          </a:p>
        </c:txPr>
        <c:crossAx val="531162400"/>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RO"/>
          </a:p>
        </c:txPr>
      </c:dTable>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[Biker_Buyer_Dataset.xlsx]Sheet2!PivotTable1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Buyer vs Non-buyer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RO"/>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36-B74D-9158-A6AFE536AF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36-B74D-9158-A6AFE536AF4D}"/>
              </c:ext>
            </c:extLst>
          </c:dPt>
          <c:cat>
            <c:strRef>
              <c:f>Sheet2!$A$4:$A$6</c:f>
              <c:strCache>
                <c:ptCount val="2"/>
                <c:pt idx="0">
                  <c:v>No</c:v>
                </c:pt>
                <c:pt idx="1">
                  <c:v>Yes</c:v>
                </c:pt>
              </c:strCache>
            </c:strRef>
          </c:cat>
          <c:val>
            <c:numRef>
              <c:f>Sheet2!$B$4:$B$6</c:f>
              <c:numCache>
                <c:formatCode>General</c:formatCode>
                <c:ptCount val="2"/>
                <c:pt idx="0">
                  <c:v>10211854</c:v>
                </c:pt>
                <c:pt idx="1">
                  <c:v>9754138</c:v>
                </c:pt>
              </c:numCache>
            </c:numRef>
          </c:val>
          <c:extLst>
            <c:ext xmlns:c16="http://schemas.microsoft.com/office/drawing/2014/chart" uri="{C3380CC4-5D6E-409C-BE32-E72D297353CC}">
              <c16:uniqueId val="{00000004-8A36-B74D-9158-A6AFE536AF4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[Biker_Buyer_Dataset.xlsx]Sheet2!PivotTable2</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100"/>
              <a:t>Avg income of who bought Bike vs Non-Buyer</a:t>
            </a:r>
          </a:p>
        </c:rich>
      </c:tx>
      <c:layout>
        <c:manualLayout>
          <c:xMode val="edge"/>
          <c:yMode val="edge"/>
          <c:x val="0.10671942208620226"/>
          <c:y val="3.683617300587232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RO"/>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Sheet2!$A$14:$A$16</c:f>
              <c:strCache>
                <c:ptCount val="2"/>
                <c:pt idx="0">
                  <c:v>No</c:v>
                </c:pt>
                <c:pt idx="1">
                  <c:v>Yes</c:v>
                </c:pt>
              </c:strCache>
            </c:strRef>
          </c:cat>
          <c:val>
            <c:numRef>
              <c:f>Sheet2!$B$14:$B$16</c:f>
              <c:numCache>
                <c:formatCode>"$"#,##0.00</c:formatCode>
                <c:ptCount val="2"/>
                <c:pt idx="0">
                  <c:v>54874.759152215796</c:v>
                </c:pt>
                <c:pt idx="1">
                  <c:v>57962.577962577961</c:v>
                </c:pt>
              </c:numCache>
            </c:numRef>
          </c:val>
          <c:extLst>
            <c:ext xmlns:c16="http://schemas.microsoft.com/office/drawing/2014/chart" uri="{C3380CC4-5D6E-409C-BE32-E72D297353CC}">
              <c16:uniqueId val="{00000000-EA2E-B943-99E9-B50E5A50EB9D}"/>
            </c:ext>
          </c:extLst>
        </c:ser>
        <c:dLbls>
          <c:showLegendKey val="0"/>
          <c:showVal val="0"/>
          <c:showCatName val="0"/>
          <c:showSerName val="0"/>
          <c:showPercent val="0"/>
          <c:showBubbleSize val="0"/>
        </c:dLbls>
        <c:gapWidth val="300"/>
        <c:overlap val="100"/>
        <c:serLines>
          <c:spPr>
            <a:ln w="9525" cap="flat" cmpd="sng" algn="ctr">
              <a:solidFill>
                <a:schemeClr val="tx1">
                  <a:lumMod val="35000"/>
                  <a:lumOff val="65000"/>
                </a:schemeClr>
              </a:solidFill>
              <a:round/>
            </a:ln>
            <a:effectLst/>
          </c:spPr>
        </c:serLines>
        <c:axId val="882887552"/>
        <c:axId val="881201536"/>
      </c:barChart>
      <c:catAx>
        <c:axId val="88288755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t>Customers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881201536"/>
        <c:crosses val="autoZero"/>
        <c:auto val="1"/>
        <c:lblAlgn val="ctr"/>
        <c:lblOffset val="100"/>
        <c:noMultiLvlLbl val="0"/>
      </c:catAx>
      <c:valAx>
        <c:axId val="88120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t>Average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title>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88288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[Biker_Buyer_Dataset.xlsx]Sheet2!PivotTable7</c:name>
    <c:fmtId val="1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sz="1200"/>
              <a:t>Commute Distance Vs bike buying</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R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R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R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R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R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R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RO"/>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Sheet2!$Q$3:$Q$4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R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Sheet2!$P$5:$P$10</c:f>
              <c:strCache>
                <c:ptCount val="5"/>
                <c:pt idx="0">
                  <c:v>0-1 Miles</c:v>
                </c:pt>
                <c:pt idx="1">
                  <c:v>1-2 Miles</c:v>
                </c:pt>
                <c:pt idx="2">
                  <c:v>10+ Miles</c:v>
                </c:pt>
                <c:pt idx="3">
                  <c:v>2-5 Miles</c:v>
                </c:pt>
                <c:pt idx="4">
                  <c:v>5-10 Miles</c:v>
                </c:pt>
              </c:strCache>
            </c:strRef>
          </c:cat>
          <c:val>
            <c:numRef>
              <c:f>Sheet2!$Q$5:$Q$10</c:f>
              <c:numCache>
                <c:formatCode>0.00%</c:formatCode>
                <c:ptCount val="5"/>
                <c:pt idx="0">
                  <c:v>0.43378262131523293</c:v>
                </c:pt>
                <c:pt idx="1">
                  <c:v>0.54117393382812473</c:v>
                </c:pt>
                <c:pt idx="2">
                  <c:v>0.71935003492898963</c:v>
                </c:pt>
                <c:pt idx="3">
                  <c:v>0.40214330156603312</c:v>
                </c:pt>
                <c:pt idx="4">
                  <c:v>0.59942746317541451</c:v>
                </c:pt>
              </c:numCache>
            </c:numRef>
          </c:val>
          <c:extLst>
            <c:ext xmlns:c16="http://schemas.microsoft.com/office/drawing/2014/chart" uri="{C3380CC4-5D6E-409C-BE32-E72D297353CC}">
              <c16:uniqueId val="{00000000-64B7-C448-91C5-4949755F2362}"/>
            </c:ext>
          </c:extLst>
        </c:ser>
        <c:ser>
          <c:idx val="1"/>
          <c:order val="1"/>
          <c:tx>
            <c:strRef>
              <c:f>Sheet2!$R$3:$R$4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R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Sheet2!$P$5:$P$10</c:f>
              <c:strCache>
                <c:ptCount val="5"/>
                <c:pt idx="0">
                  <c:v>0-1 Miles</c:v>
                </c:pt>
                <c:pt idx="1">
                  <c:v>1-2 Miles</c:v>
                </c:pt>
                <c:pt idx="2">
                  <c:v>10+ Miles</c:v>
                </c:pt>
                <c:pt idx="3">
                  <c:v>2-5 Miles</c:v>
                </c:pt>
                <c:pt idx="4">
                  <c:v>5-10 Miles</c:v>
                </c:pt>
              </c:strCache>
            </c:strRef>
          </c:cat>
          <c:val>
            <c:numRef>
              <c:f>Sheet2!$R$5:$R$10</c:f>
              <c:numCache>
                <c:formatCode>0.00%</c:formatCode>
                <c:ptCount val="5"/>
                <c:pt idx="0">
                  <c:v>0.56621737868476707</c:v>
                </c:pt>
                <c:pt idx="1">
                  <c:v>0.45882606617187532</c:v>
                </c:pt>
                <c:pt idx="2">
                  <c:v>0.28064996507101037</c:v>
                </c:pt>
                <c:pt idx="3">
                  <c:v>0.59785669843396694</c:v>
                </c:pt>
                <c:pt idx="4">
                  <c:v>0.40057253682458549</c:v>
                </c:pt>
              </c:numCache>
            </c:numRef>
          </c:val>
          <c:extLst>
            <c:ext xmlns:c16="http://schemas.microsoft.com/office/drawing/2014/chart" uri="{C3380CC4-5D6E-409C-BE32-E72D297353CC}">
              <c16:uniqueId val="{00000001-64B7-C448-91C5-4949755F2362}"/>
            </c:ext>
          </c:extLst>
        </c:ser>
        <c:dLbls>
          <c:dLblPos val="ctr"/>
          <c:showLegendKey val="0"/>
          <c:showVal val="1"/>
          <c:showCatName val="0"/>
          <c:showSerName val="0"/>
          <c:showPercent val="0"/>
          <c:showBubbleSize val="0"/>
        </c:dLbls>
        <c:gapWidth val="79"/>
        <c:overlap val="100"/>
        <c:axId val="196704607"/>
        <c:axId val="2122108720"/>
      </c:barChart>
      <c:catAx>
        <c:axId val="19670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RO"/>
          </a:p>
        </c:txPr>
        <c:crossAx val="2122108720"/>
        <c:crosses val="autoZero"/>
        <c:auto val="1"/>
        <c:lblAlgn val="ctr"/>
        <c:lblOffset val="100"/>
        <c:noMultiLvlLbl val="0"/>
      </c:catAx>
      <c:valAx>
        <c:axId val="2122108720"/>
        <c:scaling>
          <c:orientation val="minMax"/>
        </c:scaling>
        <c:delete val="1"/>
        <c:axPos val="b"/>
        <c:numFmt formatCode="0.00%" sourceLinked="1"/>
        <c:majorTickMark val="none"/>
        <c:minorTickMark val="none"/>
        <c:tickLblPos val="nextTo"/>
        <c:crossAx val="196704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[Biker_Buyer_Dataset.xlsx]Sheet2!PivotTable4</c:name>
    <c:fmtId val="14"/>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Sheet2!$B$51:$B$52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Sheet2!$A$53:$A$106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Sheet2!$B$53:$B$106</c:f>
              <c:numCache>
                <c:formatCode>0.00%</c:formatCode>
                <c:ptCount val="53"/>
                <c:pt idx="0">
                  <c:v>0.24381019320397285</c:v>
                </c:pt>
                <c:pt idx="1">
                  <c:v>0.46121419630365951</c:v>
                </c:pt>
                <c:pt idx="2">
                  <c:v>0.6766544451601183</c:v>
                </c:pt>
                <c:pt idx="3">
                  <c:v>0.51003946388337562</c:v>
                </c:pt>
                <c:pt idx="4">
                  <c:v>0.64742087415831306</c:v>
                </c:pt>
                <c:pt idx="5">
                  <c:v>0.85050757891809203</c:v>
                </c:pt>
                <c:pt idx="6">
                  <c:v>0.67975864518768014</c:v>
                </c:pt>
                <c:pt idx="7">
                  <c:v>0.55176861169444413</c:v>
                </c:pt>
                <c:pt idx="8">
                  <c:v>0.33778449108981734</c:v>
                </c:pt>
                <c:pt idx="9">
                  <c:v>0.34508854029700364</c:v>
                </c:pt>
                <c:pt idx="10">
                  <c:v>0.35313878332269966</c:v>
                </c:pt>
                <c:pt idx="11">
                  <c:v>0.12341306548047119</c:v>
                </c:pt>
                <c:pt idx="12">
                  <c:v>0.1029580202029159</c:v>
                </c:pt>
                <c:pt idx="13">
                  <c:v>0.19299864255791549</c:v>
                </c:pt>
                <c:pt idx="14">
                  <c:v>0.41770811365907778</c:v>
                </c:pt>
                <c:pt idx="15">
                  <c:v>0.57566381184299187</c:v>
                </c:pt>
                <c:pt idx="16">
                  <c:v>0.48323349776838148</c:v>
                </c:pt>
                <c:pt idx="17">
                  <c:v>0.66285889224378558</c:v>
                </c:pt>
                <c:pt idx="18">
                  <c:v>0.47309039374864109</c:v>
                </c:pt>
                <c:pt idx="19">
                  <c:v>0.54725801780931005</c:v>
                </c:pt>
                <c:pt idx="20">
                  <c:v>0.5820482639852963</c:v>
                </c:pt>
                <c:pt idx="21">
                  <c:v>0.41680362934516585</c:v>
                </c:pt>
                <c:pt idx="22">
                  <c:v>0.48110597353540707</c:v>
                </c:pt>
                <c:pt idx="23">
                  <c:v>0.59451357675508587</c:v>
                </c:pt>
                <c:pt idx="24">
                  <c:v>0.7137213926855307</c:v>
                </c:pt>
                <c:pt idx="25">
                  <c:v>0.56427213513260821</c:v>
                </c:pt>
                <c:pt idx="26">
                  <c:v>0.48568577237090105</c:v>
                </c:pt>
                <c:pt idx="27">
                  <c:v>0.40499213637055453</c:v>
                </c:pt>
                <c:pt idx="28">
                  <c:v>0.4744197547209118</c:v>
                </c:pt>
                <c:pt idx="29">
                  <c:v>0.35249077646186761</c:v>
                </c:pt>
                <c:pt idx="30">
                  <c:v>0.67691145095159044</c:v>
                </c:pt>
                <c:pt idx="31">
                  <c:v>0.84519678554342359</c:v>
                </c:pt>
                <c:pt idx="32">
                  <c:v>0.55733911876649878</c:v>
                </c:pt>
                <c:pt idx="33">
                  <c:v>0.64398263676165146</c:v>
                </c:pt>
                <c:pt idx="34">
                  <c:v>0.63494962928308785</c:v>
                </c:pt>
                <c:pt idx="35">
                  <c:v>0.48256303233383785</c:v>
                </c:pt>
                <c:pt idx="36">
                  <c:v>0.56834122283080124</c:v>
                </c:pt>
                <c:pt idx="37">
                  <c:v>0.68195275478542283</c:v>
                </c:pt>
                <c:pt idx="38">
                  <c:v>0.78285019686599899</c:v>
                </c:pt>
                <c:pt idx="39">
                  <c:v>0.67419463999423057</c:v>
                </c:pt>
                <c:pt idx="40">
                  <c:v>0.57527669167186724</c:v>
                </c:pt>
                <c:pt idx="41">
                  <c:v>0.61967786157186744</c:v>
                </c:pt>
                <c:pt idx="42">
                  <c:v>0.83280771361072492</c:v>
                </c:pt>
                <c:pt idx="43">
                  <c:v>1</c:v>
                </c:pt>
                <c:pt idx="44">
                  <c:v>1</c:v>
                </c:pt>
                <c:pt idx="45">
                  <c:v>0.84528698309617034</c:v>
                </c:pt>
                <c:pt idx="46">
                  <c:v>1</c:v>
                </c:pt>
                <c:pt idx="47">
                  <c:v>0</c:v>
                </c:pt>
                <c:pt idx="48">
                  <c:v>0.45355345634325062</c:v>
                </c:pt>
                <c:pt idx="49">
                  <c:v>0</c:v>
                </c:pt>
                <c:pt idx="50">
                  <c:v>0.44055722266949671</c:v>
                </c:pt>
                <c:pt idx="51">
                  <c:v>1</c:v>
                </c:pt>
                <c:pt idx="52">
                  <c:v>1</c:v>
                </c:pt>
              </c:numCache>
            </c:numRef>
          </c:val>
          <c:smooth val="0"/>
          <c:extLst>
            <c:ext xmlns:c16="http://schemas.microsoft.com/office/drawing/2014/chart" uri="{C3380CC4-5D6E-409C-BE32-E72D297353CC}">
              <c16:uniqueId val="{00000000-B451-DA4D-A174-D8B1DDAA63E2}"/>
            </c:ext>
          </c:extLst>
        </c:ser>
        <c:ser>
          <c:idx val="1"/>
          <c:order val="1"/>
          <c:tx>
            <c:strRef>
              <c:f>Sheet2!$C$51:$C$52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Sheet2!$A$53:$A$106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Sheet2!$C$53:$C$106</c:f>
              <c:numCache>
                <c:formatCode>0.00%</c:formatCode>
                <c:ptCount val="53"/>
                <c:pt idx="0">
                  <c:v>0.7561898067960271</c:v>
                </c:pt>
                <c:pt idx="1">
                  <c:v>0.53878580369634044</c:v>
                </c:pt>
                <c:pt idx="2">
                  <c:v>0.32334555483988175</c:v>
                </c:pt>
                <c:pt idx="3">
                  <c:v>0.48996053611662432</c:v>
                </c:pt>
                <c:pt idx="4">
                  <c:v>0.35257912584168688</c:v>
                </c:pt>
                <c:pt idx="5">
                  <c:v>0.14949242108190794</c:v>
                </c:pt>
                <c:pt idx="6">
                  <c:v>0.3202413548123198</c:v>
                </c:pt>
                <c:pt idx="7">
                  <c:v>0.44823138830555587</c:v>
                </c:pt>
                <c:pt idx="8">
                  <c:v>0.66221550891018266</c:v>
                </c:pt>
                <c:pt idx="9">
                  <c:v>0.65491145970299636</c:v>
                </c:pt>
                <c:pt idx="10">
                  <c:v>0.64686121667730034</c:v>
                </c:pt>
                <c:pt idx="11">
                  <c:v>0.87658693451952885</c:v>
                </c:pt>
                <c:pt idx="12">
                  <c:v>0.89704197979708411</c:v>
                </c:pt>
                <c:pt idx="13">
                  <c:v>0.80700135744208445</c:v>
                </c:pt>
                <c:pt idx="14">
                  <c:v>0.58229188634092222</c:v>
                </c:pt>
                <c:pt idx="15">
                  <c:v>0.42433618815700813</c:v>
                </c:pt>
                <c:pt idx="16">
                  <c:v>0.51676650223161846</c:v>
                </c:pt>
                <c:pt idx="17">
                  <c:v>0.33714110775621442</c:v>
                </c:pt>
                <c:pt idx="18">
                  <c:v>0.52690960625135885</c:v>
                </c:pt>
                <c:pt idx="19">
                  <c:v>0.45274198219068995</c:v>
                </c:pt>
                <c:pt idx="20">
                  <c:v>0.4179517360147037</c:v>
                </c:pt>
                <c:pt idx="21">
                  <c:v>0.58319637065483421</c:v>
                </c:pt>
                <c:pt idx="22">
                  <c:v>0.51889402646459293</c:v>
                </c:pt>
                <c:pt idx="23">
                  <c:v>0.40548642324491413</c:v>
                </c:pt>
                <c:pt idx="24">
                  <c:v>0.2862786073144693</c:v>
                </c:pt>
                <c:pt idx="25">
                  <c:v>0.43572786486739179</c:v>
                </c:pt>
                <c:pt idx="26">
                  <c:v>0.51431422762909895</c:v>
                </c:pt>
                <c:pt idx="27">
                  <c:v>0.59500786362944547</c:v>
                </c:pt>
                <c:pt idx="28">
                  <c:v>0.5255802452790882</c:v>
                </c:pt>
                <c:pt idx="29">
                  <c:v>0.64750922353813234</c:v>
                </c:pt>
                <c:pt idx="30">
                  <c:v>0.32308854904840956</c:v>
                </c:pt>
                <c:pt idx="31">
                  <c:v>0.15480321445657638</c:v>
                </c:pt>
                <c:pt idx="32">
                  <c:v>0.44266088123350117</c:v>
                </c:pt>
                <c:pt idx="33">
                  <c:v>0.35601736323834854</c:v>
                </c:pt>
                <c:pt idx="34">
                  <c:v>0.3650503707169121</c:v>
                </c:pt>
                <c:pt idx="35">
                  <c:v>0.5174369676661621</c:v>
                </c:pt>
                <c:pt idx="36">
                  <c:v>0.43165877716919876</c:v>
                </c:pt>
                <c:pt idx="37">
                  <c:v>0.31804724521457722</c:v>
                </c:pt>
                <c:pt idx="38">
                  <c:v>0.21714980313400101</c:v>
                </c:pt>
                <c:pt idx="39">
                  <c:v>0.32580536000576943</c:v>
                </c:pt>
                <c:pt idx="40">
                  <c:v>0.42472330832813276</c:v>
                </c:pt>
                <c:pt idx="41">
                  <c:v>0.38032213842813256</c:v>
                </c:pt>
                <c:pt idx="42">
                  <c:v>0.16719228638927511</c:v>
                </c:pt>
                <c:pt idx="43">
                  <c:v>0</c:v>
                </c:pt>
                <c:pt idx="44">
                  <c:v>0</c:v>
                </c:pt>
                <c:pt idx="45">
                  <c:v>0.15471301690382963</c:v>
                </c:pt>
                <c:pt idx="46">
                  <c:v>0</c:v>
                </c:pt>
                <c:pt idx="47">
                  <c:v>1</c:v>
                </c:pt>
                <c:pt idx="48">
                  <c:v>0.54644654365674938</c:v>
                </c:pt>
                <c:pt idx="49">
                  <c:v>1</c:v>
                </c:pt>
                <c:pt idx="50">
                  <c:v>0.55944277733050329</c:v>
                </c:pt>
                <c:pt idx="51">
                  <c:v>0</c:v>
                </c:pt>
                <c:pt idx="52">
                  <c:v>0</c:v>
                </c:pt>
              </c:numCache>
            </c:numRef>
          </c:val>
          <c:smooth val="0"/>
          <c:extLst>
            <c:ext xmlns:c16="http://schemas.microsoft.com/office/drawing/2014/chart" uri="{C3380CC4-5D6E-409C-BE32-E72D297353CC}">
              <c16:uniqueId val="{00000001-B451-DA4D-A174-D8B1DDAA63E2}"/>
            </c:ext>
          </c:extLst>
        </c:ser>
        <c:dLbls>
          <c:showLegendKey val="0"/>
          <c:showVal val="0"/>
          <c:showCatName val="0"/>
          <c:showSerName val="0"/>
          <c:showPercent val="0"/>
          <c:showBubbleSize val="0"/>
        </c:dLbls>
        <c:smooth val="0"/>
        <c:axId val="837195552"/>
        <c:axId val="1318596384"/>
      </c:lineChart>
      <c:catAx>
        <c:axId val="837195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RO"/>
          </a:p>
        </c:txPr>
        <c:crossAx val="1318596384"/>
        <c:crosses val="autoZero"/>
        <c:auto val="1"/>
        <c:lblAlgn val="ctr"/>
        <c:lblOffset val="100"/>
        <c:noMultiLvlLbl val="0"/>
      </c:catAx>
      <c:valAx>
        <c:axId val="131859638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RO"/>
          </a:p>
        </c:txPr>
        <c:crossAx val="837195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R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solidFill>
    </a:ln>
    <a:effectLst/>
  </c:spPr>
  <c:txPr>
    <a:bodyPr/>
    <a:lstStyle/>
    <a:p>
      <a:pPr>
        <a:defRPr/>
      </a:pPr>
      <a:endParaRPr lang="en-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338668</xdr:colOff>
      <xdr:row>1</xdr:row>
      <xdr:rowOff>76200</xdr:rowOff>
    </xdr:from>
    <xdr:to>
      <xdr:col>4</xdr:col>
      <xdr:colOff>397934</xdr:colOff>
      <xdr:row>7</xdr:row>
      <xdr:rowOff>84666</xdr:rowOff>
    </xdr:to>
    <xdr:graphicFrame macro="">
      <xdr:nvGraphicFramePr>
        <xdr:cNvPr id="3" name="Chart 2">
          <a:extLst>
            <a:ext uri="{FF2B5EF4-FFF2-40B4-BE49-F238E27FC236}">
              <a16:creationId xmlns:a16="http://schemas.microsoft.com/office/drawing/2014/main" id="{0660979B-38EF-805A-6D91-0A820E896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33864</xdr:colOff>
      <xdr:row>16</xdr:row>
      <xdr:rowOff>62090</xdr:rowOff>
    </xdr:from>
    <xdr:to>
      <xdr:col>3</xdr:col>
      <xdr:colOff>215897</xdr:colOff>
      <xdr:row>24</xdr:row>
      <xdr:rowOff>83256</xdr:rowOff>
    </xdr:to>
    <xdr:graphicFrame macro="">
      <xdr:nvGraphicFramePr>
        <xdr:cNvPr id="5" name="Chart 4">
          <a:extLst>
            <a:ext uri="{FF2B5EF4-FFF2-40B4-BE49-F238E27FC236}">
              <a16:creationId xmlns:a16="http://schemas.microsoft.com/office/drawing/2014/main" id="{602F83CB-1D15-3CAB-E73C-D3C947307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64913</xdr:colOff>
      <xdr:row>37</xdr:row>
      <xdr:rowOff>64911</xdr:rowOff>
    </xdr:from>
    <xdr:to>
      <xdr:col>4</xdr:col>
      <xdr:colOff>1</xdr:colOff>
      <xdr:row>47</xdr:row>
      <xdr:rowOff>56444</xdr:rowOff>
    </xdr:to>
    <xdr:graphicFrame macro="">
      <xdr:nvGraphicFramePr>
        <xdr:cNvPr id="6" name="Chart 5">
          <a:extLst>
            <a:ext uri="{FF2B5EF4-FFF2-40B4-BE49-F238E27FC236}">
              <a16:creationId xmlns:a16="http://schemas.microsoft.com/office/drawing/2014/main" id="{FA8EEA31-C584-252B-AA41-7C9A23A2F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575733</xdr:colOff>
      <xdr:row>53</xdr:row>
      <xdr:rowOff>88899</xdr:rowOff>
    </xdr:from>
    <xdr:to>
      <xdr:col>13</xdr:col>
      <xdr:colOff>272143</xdr:colOff>
      <xdr:row>82</xdr:row>
      <xdr:rowOff>16933</xdr:rowOff>
    </xdr:to>
    <xdr:graphicFrame macro="">
      <xdr:nvGraphicFramePr>
        <xdr:cNvPr id="8" name="Chart 7">
          <a:extLst>
            <a:ext uri="{FF2B5EF4-FFF2-40B4-BE49-F238E27FC236}">
              <a16:creationId xmlns:a16="http://schemas.microsoft.com/office/drawing/2014/main" id="{7CA01865-1586-D75E-5AA0-54F10DF52C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816011</xdr:colOff>
      <xdr:row>10</xdr:row>
      <xdr:rowOff>95469</xdr:rowOff>
    </xdr:from>
    <xdr:to>
      <xdr:col>13</xdr:col>
      <xdr:colOff>264218</xdr:colOff>
      <xdr:row>24</xdr:row>
      <xdr:rowOff>181887</xdr:rowOff>
    </xdr:to>
    <xdr:graphicFrame macro="">
      <xdr:nvGraphicFramePr>
        <xdr:cNvPr id="9" name="Chart 8">
          <a:extLst>
            <a:ext uri="{FF2B5EF4-FFF2-40B4-BE49-F238E27FC236}">
              <a16:creationId xmlns:a16="http://schemas.microsoft.com/office/drawing/2014/main" id="{38D62D83-B6AF-3BB9-5A10-B0FA1BBC73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57292</xdr:colOff>
      <xdr:row>37</xdr:row>
      <xdr:rowOff>133683</xdr:rowOff>
    </xdr:from>
    <xdr:to>
      <xdr:col>11</xdr:col>
      <xdr:colOff>802105</xdr:colOff>
      <xdr:row>48</xdr:row>
      <xdr:rowOff>19097</xdr:rowOff>
    </xdr:to>
    <xdr:graphicFrame macro="">
      <xdr:nvGraphicFramePr>
        <xdr:cNvPr id="2" name="Chart 1">
          <a:extLst>
            <a:ext uri="{FF2B5EF4-FFF2-40B4-BE49-F238E27FC236}">
              <a16:creationId xmlns:a16="http://schemas.microsoft.com/office/drawing/2014/main" id="{8AC93F72-CAEE-144C-DA51-B50E7388A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812800</xdr:colOff>
      <xdr:row>11</xdr:row>
      <xdr:rowOff>8467</xdr:rowOff>
    </xdr:from>
    <xdr:to>
      <xdr:col>20</xdr:col>
      <xdr:colOff>321733</xdr:colOff>
      <xdr:row>25</xdr:row>
      <xdr:rowOff>143933</xdr:rowOff>
    </xdr:to>
    <xdr:graphicFrame macro="">
      <xdr:nvGraphicFramePr>
        <xdr:cNvPr id="4" name="Chart 3">
          <a:extLst>
            <a:ext uri="{FF2B5EF4-FFF2-40B4-BE49-F238E27FC236}">
              <a16:creationId xmlns:a16="http://schemas.microsoft.com/office/drawing/2014/main" id="{C23376B5-FCDA-4CE0-AFCE-B3BB60734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304825</xdr:colOff>
      <xdr:row>32</xdr:row>
      <xdr:rowOff>123762</xdr:rowOff>
    </xdr:from>
    <xdr:to>
      <xdr:col>24</xdr:col>
      <xdr:colOff>720190</xdr:colOff>
      <xdr:row>47</xdr:row>
      <xdr:rowOff>72463</xdr:rowOff>
    </xdr:to>
    <xdr:graphicFrame macro="">
      <xdr:nvGraphicFramePr>
        <xdr:cNvPr id="10" name="Chart 9">
          <a:extLst>
            <a:ext uri="{FF2B5EF4-FFF2-40B4-BE49-F238E27FC236}">
              <a16:creationId xmlns:a16="http://schemas.microsoft.com/office/drawing/2014/main" id="{4AD14A93-E47F-8802-3DA5-BCB9092D99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342900</xdr:colOff>
      <xdr:row>2</xdr:row>
      <xdr:rowOff>76200</xdr:rowOff>
    </xdr:from>
    <xdr:to>
      <xdr:col>18</xdr:col>
      <xdr:colOff>368300</xdr:colOff>
      <xdr:row>40</xdr:row>
      <xdr:rowOff>127000</xdr:rowOff>
    </xdr:to>
    <xdr:sp macro="" textlink="">
      <xdr:nvSpPr>
        <xdr:cNvPr id="2" name="Rounded Rectangle 1">
          <a:extLst>
            <a:ext uri="{FF2B5EF4-FFF2-40B4-BE49-F238E27FC236}">
              <a16:creationId xmlns:a16="http://schemas.microsoft.com/office/drawing/2014/main" id="{7EBC1853-E5C4-78D9-5448-974DECEBC57A}"/>
            </a:ext>
          </a:extLst>
        </xdr:cNvPr>
        <xdr:cNvSpPr/>
      </xdr:nvSpPr>
      <xdr:spPr>
        <a:xfrm>
          <a:off x="2819400" y="457200"/>
          <a:ext cx="12407900" cy="7289800"/>
        </a:xfrm>
        <a:prstGeom prst="roundRect">
          <a:avLst>
            <a:gd name="adj" fmla="val 4383"/>
          </a:avLst>
        </a:prstGeom>
        <a:solidFill>
          <a:schemeClr val="bg2">
            <a:lumMod val="90000"/>
          </a:schemeClr>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355600</xdr:colOff>
      <xdr:row>2</xdr:row>
      <xdr:rowOff>88900</xdr:rowOff>
    </xdr:from>
    <xdr:to>
      <xdr:col>18</xdr:col>
      <xdr:colOff>381000</xdr:colOff>
      <xdr:row>8</xdr:row>
      <xdr:rowOff>28864</xdr:rowOff>
    </xdr:to>
    <xdr:sp macro="" textlink="">
      <xdr:nvSpPr>
        <xdr:cNvPr id="4" name="Rounded Rectangle 3">
          <a:extLst>
            <a:ext uri="{FF2B5EF4-FFF2-40B4-BE49-F238E27FC236}">
              <a16:creationId xmlns:a16="http://schemas.microsoft.com/office/drawing/2014/main" id="{2191DF52-56CA-7845-80EF-B67D1E079BB2}"/>
            </a:ext>
          </a:extLst>
        </xdr:cNvPr>
        <xdr:cNvSpPr/>
      </xdr:nvSpPr>
      <xdr:spPr>
        <a:xfrm>
          <a:off x="2823441" y="464127"/>
          <a:ext cx="12364604" cy="1065646"/>
        </a:xfrm>
        <a:prstGeom prst="roundRect">
          <a:avLst>
            <a:gd name="adj" fmla="val 4383"/>
          </a:avLst>
        </a:prstGeom>
        <a:solidFill>
          <a:schemeClr val="accent1"/>
        </a:solid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GB" sz="4000"/>
            <a:t>BIKE</a:t>
          </a:r>
          <a:r>
            <a:rPr lang="en-GB" sz="4000" baseline="0"/>
            <a:t> BUYER DASHBOARD</a:t>
          </a:r>
          <a:r>
            <a:rPr lang="en-GB" sz="4000"/>
            <a:t> </a:t>
          </a:r>
        </a:p>
      </xdr:txBody>
    </xdr:sp>
    <xdr:clientData/>
  </xdr:twoCellAnchor>
  <xdr:twoCellAnchor>
    <xdr:from>
      <xdr:col>3</xdr:col>
      <xdr:colOff>649793</xdr:colOff>
      <xdr:row>16</xdr:row>
      <xdr:rowOff>114300</xdr:rowOff>
    </xdr:from>
    <xdr:to>
      <xdr:col>9</xdr:col>
      <xdr:colOff>505476</xdr:colOff>
      <xdr:row>29</xdr:row>
      <xdr:rowOff>53687</xdr:rowOff>
    </xdr:to>
    <xdr:sp macro="" textlink="">
      <xdr:nvSpPr>
        <xdr:cNvPr id="10" name="Rounded Rectangle 9">
          <a:extLst>
            <a:ext uri="{FF2B5EF4-FFF2-40B4-BE49-F238E27FC236}">
              <a16:creationId xmlns:a16="http://schemas.microsoft.com/office/drawing/2014/main" id="{CB6851A9-42DD-7E61-E8BA-39853AA44931}"/>
            </a:ext>
          </a:extLst>
        </xdr:cNvPr>
        <xdr:cNvSpPr/>
      </xdr:nvSpPr>
      <xdr:spPr>
        <a:xfrm>
          <a:off x="3126293" y="3162300"/>
          <a:ext cx="4808683" cy="2415887"/>
        </a:xfrm>
        <a:prstGeom prst="roundRect">
          <a:avLst>
            <a:gd name="adj" fmla="val 2654"/>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3</xdr:col>
      <xdr:colOff>649793</xdr:colOff>
      <xdr:row>29</xdr:row>
      <xdr:rowOff>96981</xdr:rowOff>
    </xdr:from>
    <xdr:to>
      <xdr:col>6</xdr:col>
      <xdr:colOff>563203</xdr:colOff>
      <xdr:row>38</xdr:row>
      <xdr:rowOff>165099</xdr:rowOff>
    </xdr:to>
    <xdr:sp macro="" textlink="">
      <xdr:nvSpPr>
        <xdr:cNvPr id="12" name="Rounded Rectangle 11">
          <a:extLst>
            <a:ext uri="{FF2B5EF4-FFF2-40B4-BE49-F238E27FC236}">
              <a16:creationId xmlns:a16="http://schemas.microsoft.com/office/drawing/2014/main" id="{B35000C5-7596-3024-A56F-6434DD972861}"/>
            </a:ext>
          </a:extLst>
        </xdr:cNvPr>
        <xdr:cNvSpPr/>
      </xdr:nvSpPr>
      <xdr:spPr>
        <a:xfrm>
          <a:off x="3126293" y="5621481"/>
          <a:ext cx="2389910" cy="1782618"/>
        </a:xfrm>
        <a:prstGeom prst="roundRect">
          <a:avLst>
            <a:gd name="adj" fmla="val 2654"/>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9</xdr:col>
      <xdr:colOff>581676</xdr:colOff>
      <xdr:row>9</xdr:row>
      <xdr:rowOff>142008</xdr:rowOff>
    </xdr:from>
    <xdr:to>
      <xdr:col>12</xdr:col>
      <xdr:colOff>781774</xdr:colOff>
      <xdr:row>23</xdr:row>
      <xdr:rowOff>24821</xdr:rowOff>
    </xdr:to>
    <xdr:sp macro="" textlink="">
      <xdr:nvSpPr>
        <xdr:cNvPr id="13" name="Rounded Rectangle 12">
          <a:extLst>
            <a:ext uri="{FF2B5EF4-FFF2-40B4-BE49-F238E27FC236}">
              <a16:creationId xmlns:a16="http://schemas.microsoft.com/office/drawing/2014/main" id="{10DD71FF-32E3-5294-CA04-40097BB46ADF}"/>
            </a:ext>
          </a:extLst>
        </xdr:cNvPr>
        <xdr:cNvSpPr/>
      </xdr:nvSpPr>
      <xdr:spPr>
        <a:xfrm>
          <a:off x="8011176" y="1856508"/>
          <a:ext cx="2676598" cy="2549813"/>
        </a:xfrm>
        <a:prstGeom prst="roundRect">
          <a:avLst>
            <a:gd name="adj" fmla="val 2654"/>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9</xdr:col>
      <xdr:colOff>567245</xdr:colOff>
      <xdr:row>23</xdr:row>
      <xdr:rowOff>83127</xdr:rowOff>
    </xdr:from>
    <xdr:to>
      <xdr:col>15</xdr:col>
      <xdr:colOff>462180</xdr:colOff>
      <xdr:row>38</xdr:row>
      <xdr:rowOff>172027</xdr:rowOff>
    </xdr:to>
    <xdr:sp macro="" textlink="">
      <xdr:nvSpPr>
        <xdr:cNvPr id="15" name="Rounded Rectangle 14">
          <a:extLst>
            <a:ext uri="{FF2B5EF4-FFF2-40B4-BE49-F238E27FC236}">
              <a16:creationId xmlns:a16="http://schemas.microsoft.com/office/drawing/2014/main" id="{D08983A5-B91F-0A7C-080D-D6A7623DC61B}"/>
            </a:ext>
          </a:extLst>
        </xdr:cNvPr>
        <xdr:cNvSpPr/>
      </xdr:nvSpPr>
      <xdr:spPr>
        <a:xfrm>
          <a:off x="7996745" y="4464627"/>
          <a:ext cx="4847935" cy="2946400"/>
        </a:xfrm>
        <a:prstGeom prst="roundRect">
          <a:avLst>
            <a:gd name="adj" fmla="val 2654"/>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3</xdr:col>
      <xdr:colOff>635361</xdr:colOff>
      <xdr:row>9</xdr:row>
      <xdr:rowOff>143164</xdr:rowOff>
    </xdr:from>
    <xdr:to>
      <xdr:col>5</xdr:col>
      <xdr:colOff>519907</xdr:colOff>
      <xdr:row>15</xdr:row>
      <xdr:rowOff>186459</xdr:rowOff>
    </xdr:to>
    <xdr:sp macro="" textlink="">
      <xdr:nvSpPr>
        <xdr:cNvPr id="3" name="Rounded Rectangle 2">
          <a:extLst>
            <a:ext uri="{FF2B5EF4-FFF2-40B4-BE49-F238E27FC236}">
              <a16:creationId xmlns:a16="http://schemas.microsoft.com/office/drawing/2014/main" id="{0152C170-B985-B04E-C325-99F46E3B85B8}"/>
            </a:ext>
          </a:extLst>
        </xdr:cNvPr>
        <xdr:cNvSpPr/>
      </xdr:nvSpPr>
      <xdr:spPr>
        <a:xfrm>
          <a:off x="3111861" y="1857664"/>
          <a:ext cx="1535546" cy="1186295"/>
        </a:xfrm>
        <a:prstGeom prst="roundRect">
          <a:avLst>
            <a:gd name="adj" fmla="val 2654"/>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GB" sz="1400"/>
            <a:t>Total Income</a:t>
          </a:r>
        </a:p>
        <a:p>
          <a:pPr algn="ctr"/>
          <a:r>
            <a:rPr lang="en-GB" sz="2000"/>
            <a:t>$56,360,000</a:t>
          </a:r>
        </a:p>
      </xdr:txBody>
    </xdr:sp>
    <xdr:clientData/>
  </xdr:twoCellAnchor>
  <xdr:twoCellAnchor>
    <xdr:from>
      <xdr:col>5</xdr:col>
      <xdr:colOff>606499</xdr:colOff>
      <xdr:row>9</xdr:row>
      <xdr:rowOff>143164</xdr:rowOff>
    </xdr:from>
    <xdr:to>
      <xdr:col>7</xdr:col>
      <xdr:colOff>491044</xdr:colOff>
      <xdr:row>15</xdr:row>
      <xdr:rowOff>186459</xdr:rowOff>
    </xdr:to>
    <xdr:sp macro="" textlink="">
      <xdr:nvSpPr>
        <xdr:cNvPr id="16" name="Rounded Rectangle 15">
          <a:extLst>
            <a:ext uri="{FF2B5EF4-FFF2-40B4-BE49-F238E27FC236}">
              <a16:creationId xmlns:a16="http://schemas.microsoft.com/office/drawing/2014/main" id="{7E6D7B3C-BA76-9901-0C3D-477813A6950E}"/>
            </a:ext>
          </a:extLst>
        </xdr:cNvPr>
        <xdr:cNvSpPr/>
      </xdr:nvSpPr>
      <xdr:spPr>
        <a:xfrm>
          <a:off x="4733999" y="1857664"/>
          <a:ext cx="1535545" cy="1186295"/>
        </a:xfrm>
        <a:prstGeom prst="roundRect">
          <a:avLst>
            <a:gd name="adj" fmla="val 2654"/>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GB" sz="1100"/>
            <a:t>Purchased Rate</a:t>
          </a:r>
        </a:p>
        <a:p>
          <a:pPr algn="ctr"/>
          <a:r>
            <a:rPr lang="en-GB" sz="1600"/>
            <a:t>48.10%</a:t>
          </a:r>
        </a:p>
      </xdr:txBody>
    </xdr:sp>
    <xdr:clientData/>
  </xdr:twoCellAnchor>
  <xdr:twoCellAnchor>
    <xdr:from>
      <xdr:col>7</xdr:col>
      <xdr:colOff>563203</xdr:colOff>
      <xdr:row>9</xdr:row>
      <xdr:rowOff>143164</xdr:rowOff>
    </xdr:from>
    <xdr:to>
      <xdr:col>9</xdr:col>
      <xdr:colOff>447748</xdr:colOff>
      <xdr:row>15</xdr:row>
      <xdr:rowOff>186459</xdr:rowOff>
    </xdr:to>
    <xdr:sp macro="" textlink="">
      <xdr:nvSpPr>
        <xdr:cNvPr id="17" name="Rounded Rectangle 16">
          <a:extLst>
            <a:ext uri="{FF2B5EF4-FFF2-40B4-BE49-F238E27FC236}">
              <a16:creationId xmlns:a16="http://schemas.microsoft.com/office/drawing/2014/main" id="{D53932E8-A24B-C1F9-247F-0442D0AF9712}"/>
            </a:ext>
          </a:extLst>
        </xdr:cNvPr>
        <xdr:cNvSpPr/>
      </xdr:nvSpPr>
      <xdr:spPr>
        <a:xfrm>
          <a:off x="6341703" y="1857664"/>
          <a:ext cx="1535545" cy="1186295"/>
        </a:xfrm>
        <a:prstGeom prst="roundRect">
          <a:avLst>
            <a:gd name="adj" fmla="val 2654"/>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GB" sz="1100"/>
            <a:t>Purchased</a:t>
          </a:r>
          <a:r>
            <a:rPr lang="en-GB" sz="1100" baseline="0"/>
            <a:t> </a:t>
          </a:r>
          <a:r>
            <a:rPr lang="en-GB" sz="1100"/>
            <a:t>Customers</a:t>
          </a:r>
        </a:p>
        <a:p>
          <a:pPr algn="ctr"/>
          <a:r>
            <a:rPr lang="en-GB" sz="1600"/>
            <a:t>481</a:t>
          </a:r>
        </a:p>
        <a:p>
          <a:pPr algn="l"/>
          <a:endParaRPr lang="en-GB" sz="1100"/>
        </a:p>
      </xdr:txBody>
    </xdr:sp>
    <xdr:clientData/>
  </xdr:twoCellAnchor>
  <xdr:twoCellAnchor>
    <xdr:from>
      <xdr:col>6</xdr:col>
      <xdr:colOff>635363</xdr:colOff>
      <xdr:row>29</xdr:row>
      <xdr:rowOff>96981</xdr:rowOff>
    </xdr:from>
    <xdr:to>
      <xdr:col>9</xdr:col>
      <xdr:colOff>505477</xdr:colOff>
      <xdr:row>38</xdr:row>
      <xdr:rowOff>165099</xdr:rowOff>
    </xdr:to>
    <xdr:sp macro="" textlink="">
      <xdr:nvSpPr>
        <xdr:cNvPr id="18" name="Rounded Rectangle 17">
          <a:extLst>
            <a:ext uri="{FF2B5EF4-FFF2-40B4-BE49-F238E27FC236}">
              <a16:creationId xmlns:a16="http://schemas.microsoft.com/office/drawing/2014/main" id="{D3B38BCC-3B62-4754-5C52-6BC372EC3B12}"/>
            </a:ext>
          </a:extLst>
        </xdr:cNvPr>
        <xdr:cNvSpPr/>
      </xdr:nvSpPr>
      <xdr:spPr>
        <a:xfrm>
          <a:off x="5588363" y="5621481"/>
          <a:ext cx="2346614" cy="1782618"/>
        </a:xfrm>
        <a:prstGeom prst="roundRect">
          <a:avLst>
            <a:gd name="adj" fmla="val 2654"/>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13</xdr:col>
      <xdr:colOff>18041</xdr:colOff>
      <xdr:row>9</xdr:row>
      <xdr:rowOff>142008</xdr:rowOff>
    </xdr:from>
    <xdr:to>
      <xdr:col>18</xdr:col>
      <xdr:colOff>165100</xdr:colOff>
      <xdr:row>23</xdr:row>
      <xdr:rowOff>24821</xdr:rowOff>
    </xdr:to>
    <xdr:sp macro="" textlink="">
      <xdr:nvSpPr>
        <xdr:cNvPr id="19" name="Rounded Rectangle 18">
          <a:extLst>
            <a:ext uri="{FF2B5EF4-FFF2-40B4-BE49-F238E27FC236}">
              <a16:creationId xmlns:a16="http://schemas.microsoft.com/office/drawing/2014/main" id="{D7E95EA2-2BD5-EC40-7C85-5BA542892D52}"/>
            </a:ext>
          </a:extLst>
        </xdr:cNvPr>
        <xdr:cNvSpPr/>
      </xdr:nvSpPr>
      <xdr:spPr>
        <a:xfrm>
          <a:off x="10749541" y="1856508"/>
          <a:ext cx="4274559" cy="2549813"/>
        </a:xfrm>
        <a:prstGeom prst="roundRect">
          <a:avLst>
            <a:gd name="adj" fmla="val 2654"/>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3</xdr:col>
      <xdr:colOff>700790</xdr:colOff>
      <xdr:row>16</xdr:row>
      <xdr:rowOff>180103</xdr:rowOff>
    </xdr:from>
    <xdr:to>
      <xdr:col>9</xdr:col>
      <xdr:colOff>450739</xdr:colOff>
      <xdr:row>28</xdr:row>
      <xdr:rowOff>186461</xdr:rowOff>
    </xdr:to>
    <xdr:graphicFrame macro="">
      <xdr:nvGraphicFramePr>
        <xdr:cNvPr id="20" name="Chart 19">
          <a:extLst>
            <a:ext uri="{FF2B5EF4-FFF2-40B4-BE49-F238E27FC236}">
              <a16:creationId xmlns:a16="http://schemas.microsoft.com/office/drawing/2014/main" id="{BB7337B5-A46D-154B-92C8-5701A09E1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667575</xdr:colOff>
      <xdr:row>23</xdr:row>
      <xdr:rowOff>169141</xdr:rowOff>
    </xdr:from>
    <xdr:to>
      <xdr:col>15</xdr:col>
      <xdr:colOff>362773</xdr:colOff>
      <xdr:row>38</xdr:row>
      <xdr:rowOff>121786</xdr:rowOff>
    </xdr:to>
    <xdr:graphicFrame macro="">
      <xdr:nvGraphicFramePr>
        <xdr:cNvPr id="21" name="Chart 20">
          <a:extLst>
            <a:ext uri="{FF2B5EF4-FFF2-40B4-BE49-F238E27FC236}">
              <a16:creationId xmlns:a16="http://schemas.microsoft.com/office/drawing/2014/main" id="{4EAC1271-4C04-B04A-880E-6A58F18CF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767341</xdr:colOff>
      <xdr:row>29</xdr:row>
      <xdr:rowOff>183641</xdr:rowOff>
    </xdr:from>
    <xdr:to>
      <xdr:col>6</xdr:col>
      <xdr:colOff>502658</xdr:colOff>
      <xdr:row>38</xdr:row>
      <xdr:rowOff>94165</xdr:rowOff>
    </xdr:to>
    <xdr:graphicFrame macro="">
      <xdr:nvGraphicFramePr>
        <xdr:cNvPr id="22" name="Chart 21">
          <a:extLst>
            <a:ext uri="{FF2B5EF4-FFF2-40B4-BE49-F238E27FC236}">
              <a16:creationId xmlns:a16="http://schemas.microsoft.com/office/drawing/2014/main" id="{57CEF823-9AEC-404F-8075-BF4BAA6A8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717032</xdr:colOff>
      <xdr:row>29</xdr:row>
      <xdr:rowOff>141321</xdr:rowOff>
    </xdr:from>
    <xdr:to>
      <xdr:col>9</xdr:col>
      <xdr:colOff>494422</xdr:colOff>
      <xdr:row>38</xdr:row>
      <xdr:rowOff>127810</xdr:rowOff>
    </xdr:to>
    <xdr:graphicFrame macro="">
      <xdr:nvGraphicFramePr>
        <xdr:cNvPr id="23" name="Chart 22">
          <a:extLst>
            <a:ext uri="{FF2B5EF4-FFF2-40B4-BE49-F238E27FC236}">
              <a16:creationId xmlns:a16="http://schemas.microsoft.com/office/drawing/2014/main" id="{34FF7E48-A95B-2C44-AD85-A394DE4A8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629569</xdr:colOff>
      <xdr:row>10</xdr:row>
      <xdr:rowOff>7537</xdr:rowOff>
    </xdr:from>
    <xdr:to>
      <xdr:col>12</xdr:col>
      <xdr:colOff>764894</xdr:colOff>
      <xdr:row>22</xdr:row>
      <xdr:rowOff>128256</xdr:rowOff>
    </xdr:to>
    <xdr:graphicFrame macro="">
      <xdr:nvGraphicFramePr>
        <xdr:cNvPr id="24" name="Chart 23">
          <a:extLst>
            <a:ext uri="{FF2B5EF4-FFF2-40B4-BE49-F238E27FC236}">
              <a16:creationId xmlns:a16="http://schemas.microsoft.com/office/drawing/2014/main" id="{F8CCD27A-F1A3-7F42-94D6-128226F89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518160</xdr:colOff>
      <xdr:row>23</xdr:row>
      <xdr:rowOff>81280</xdr:rowOff>
    </xdr:from>
    <xdr:to>
      <xdr:col>18</xdr:col>
      <xdr:colOff>162560</xdr:colOff>
      <xdr:row>38</xdr:row>
      <xdr:rowOff>165100</xdr:rowOff>
    </xdr:to>
    <xdr:sp macro="" textlink="">
      <xdr:nvSpPr>
        <xdr:cNvPr id="5" name="Rounded Rectangle 4">
          <a:extLst>
            <a:ext uri="{FF2B5EF4-FFF2-40B4-BE49-F238E27FC236}">
              <a16:creationId xmlns:a16="http://schemas.microsoft.com/office/drawing/2014/main" id="{3579373C-4993-5999-9196-3E5DD6DD261D}"/>
            </a:ext>
          </a:extLst>
        </xdr:cNvPr>
        <xdr:cNvSpPr/>
      </xdr:nvSpPr>
      <xdr:spPr>
        <a:xfrm>
          <a:off x="12862560" y="4521200"/>
          <a:ext cx="2113280" cy="2979420"/>
        </a:xfrm>
        <a:prstGeom prst="roundRect">
          <a:avLst>
            <a:gd name="adj" fmla="val 2654"/>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13</xdr:col>
      <xdr:colOff>72132</xdr:colOff>
      <xdr:row>10</xdr:row>
      <xdr:rowOff>1</xdr:rowOff>
    </xdr:from>
    <xdr:to>
      <xdr:col>18</xdr:col>
      <xdr:colOff>142239</xdr:colOff>
      <xdr:row>23</xdr:row>
      <xdr:rowOff>15679</xdr:rowOff>
    </xdr:to>
    <xdr:graphicFrame macro="">
      <xdr:nvGraphicFramePr>
        <xdr:cNvPr id="6" name="Chart 5">
          <a:extLst>
            <a:ext uri="{FF2B5EF4-FFF2-40B4-BE49-F238E27FC236}">
              <a16:creationId xmlns:a16="http://schemas.microsoft.com/office/drawing/2014/main" id="{323CEFB2-1CF8-7047-9E59-848B4ECDA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658048</xdr:colOff>
      <xdr:row>23</xdr:row>
      <xdr:rowOff>146286</xdr:rowOff>
    </xdr:from>
    <xdr:to>
      <xdr:col>18</xdr:col>
      <xdr:colOff>17403</xdr:colOff>
      <xdr:row>28</xdr:row>
      <xdr:rowOff>11760</xdr:rowOff>
    </xdr:to>
    <mc:AlternateContent xmlns:mc="http://schemas.openxmlformats.org/markup-compatibility/2006">
      <mc:Choice xmlns:a14="http://schemas.microsoft.com/office/drawing/2010/main" Requires="a14">
        <xdr:graphicFrame macro="">
          <xdr:nvGraphicFramePr>
            <xdr:cNvPr id="8" name="Marital Full 1">
              <a:extLst>
                <a:ext uri="{FF2B5EF4-FFF2-40B4-BE49-F238E27FC236}">
                  <a16:creationId xmlns:a16="http://schemas.microsoft.com/office/drawing/2014/main" id="{BEA38A9C-C47B-E367-5FDF-EEC06F554FF0}"/>
                </a:ext>
              </a:extLst>
            </xdr:cNvPr>
            <xdr:cNvGraphicFramePr/>
          </xdr:nvGraphicFramePr>
          <xdr:xfrm>
            <a:off x="0" y="0"/>
            <a:ext cx="0" cy="0"/>
          </xdr:xfrm>
          <a:graphic>
            <a:graphicData uri="http://schemas.microsoft.com/office/drawing/2010/slicer">
              <sle:slicer xmlns:sle="http://schemas.microsoft.com/office/drawing/2010/slicer" name="Marital Full 1"/>
            </a:graphicData>
          </a:graphic>
        </xdr:graphicFrame>
      </mc:Choice>
      <mc:Fallback>
        <xdr:sp macro="" textlink="">
          <xdr:nvSpPr>
            <xdr:cNvPr id="0" name=""/>
            <xdr:cNvSpPr>
              <a:spLocks noTextEdit="1"/>
            </xdr:cNvSpPr>
          </xdr:nvSpPr>
          <xdr:spPr>
            <a:xfrm>
              <a:off x="13072655" y="4412915"/>
              <a:ext cx="1842276" cy="7930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664163</xdr:colOff>
      <xdr:row>28</xdr:row>
      <xdr:rowOff>83561</xdr:rowOff>
    </xdr:from>
    <xdr:to>
      <xdr:col>18</xdr:col>
      <xdr:colOff>23518</xdr:colOff>
      <xdr:row>32</xdr:row>
      <xdr:rowOff>151945</xdr:rowOff>
    </xdr:to>
    <mc:AlternateContent xmlns:mc="http://schemas.openxmlformats.org/markup-compatibility/2006">
      <mc:Choice xmlns:a14="http://schemas.microsoft.com/office/drawing/2010/main" Requires="a14">
        <xdr:graphicFrame macro="">
          <xdr:nvGraphicFramePr>
            <xdr:cNvPr id="11" name="Purchased Bike 1">
              <a:extLst>
                <a:ext uri="{FF2B5EF4-FFF2-40B4-BE49-F238E27FC236}">
                  <a16:creationId xmlns:a16="http://schemas.microsoft.com/office/drawing/2014/main" id="{39CBFC24-7E25-DED7-AA69-44DE2462A8EB}"/>
                </a:ext>
              </a:extLst>
            </xdr:cNvPr>
            <xdr:cNvGraphicFramePr/>
          </xdr:nvGraphicFramePr>
          <xdr:xfrm>
            <a:off x="0" y="0"/>
            <a:ext cx="0" cy="0"/>
          </xdr:xfrm>
          <a:graphic>
            <a:graphicData uri="http://schemas.microsoft.com/office/drawing/2010/slicer">
              <sle:slicer xmlns:sle="http://schemas.microsoft.com/office/drawing/2010/slicer" name="Purchased Bike 1"/>
            </a:graphicData>
          </a:graphic>
        </xdr:graphicFrame>
      </mc:Choice>
      <mc:Fallback>
        <xdr:sp macro="" textlink="">
          <xdr:nvSpPr>
            <xdr:cNvPr id="0" name=""/>
            <xdr:cNvSpPr>
              <a:spLocks noTextEdit="1"/>
            </xdr:cNvSpPr>
          </xdr:nvSpPr>
          <xdr:spPr>
            <a:xfrm>
              <a:off x="13078770" y="5277718"/>
              <a:ext cx="1842276" cy="8104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669808</xdr:colOff>
      <xdr:row>33</xdr:row>
      <xdr:rowOff>40454</xdr:rowOff>
    </xdr:from>
    <xdr:to>
      <xdr:col>18</xdr:col>
      <xdr:colOff>29163</xdr:colOff>
      <xdr:row>38</xdr:row>
      <xdr:rowOff>141113</xdr:rowOff>
    </xdr:to>
    <mc:AlternateContent xmlns:mc="http://schemas.openxmlformats.org/markup-compatibility/2006">
      <mc:Choice xmlns:a14="http://schemas.microsoft.com/office/drawing/2010/main" Requires="a14">
        <xdr:graphicFrame macro="">
          <xdr:nvGraphicFramePr>
            <xdr:cNvPr id="25" name="Age 1">
              <a:extLst>
                <a:ext uri="{FF2B5EF4-FFF2-40B4-BE49-F238E27FC236}">
                  <a16:creationId xmlns:a16="http://schemas.microsoft.com/office/drawing/2014/main" id="{E9AC3B6C-AF47-A36C-D71B-36E6F06EF9C9}"/>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13084415" y="6162139"/>
              <a:ext cx="1842276" cy="10281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684945</xdr:colOff>
      <xdr:row>4</xdr:row>
      <xdr:rowOff>28540</xdr:rowOff>
    </xdr:from>
    <xdr:to>
      <xdr:col>18</xdr:col>
      <xdr:colOff>85619</xdr:colOff>
      <xdr:row>6</xdr:row>
      <xdr:rowOff>14269</xdr:rowOff>
    </xdr:to>
    <xdr:sp macro="" textlink="">
      <xdr:nvSpPr>
        <xdr:cNvPr id="26" name="Rounded Rectangle 25">
          <a:extLst>
            <a:ext uri="{FF2B5EF4-FFF2-40B4-BE49-F238E27FC236}">
              <a16:creationId xmlns:a16="http://schemas.microsoft.com/office/drawing/2014/main" id="{345C67F9-4284-B6DC-6022-409D681C4DEE}"/>
            </a:ext>
          </a:extLst>
        </xdr:cNvPr>
        <xdr:cNvSpPr/>
      </xdr:nvSpPr>
      <xdr:spPr>
        <a:xfrm>
          <a:off x="12271911" y="770562"/>
          <a:ext cx="2711236" cy="356741"/>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lang="en-GB" sz="1200">
              <a:solidFill>
                <a:schemeClr val="tx2">
                  <a:lumMod val="20000"/>
                  <a:lumOff val="80000"/>
                </a:schemeClr>
              </a:solidFill>
            </a:rPr>
            <a:t>Search</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king" refreshedDate="45966.997742708336" createdVersion="8" refreshedVersion="8" minRefreshableVersion="3" recordCount="1000" xr:uid="{237F9006-C04C-DE4A-A9FB-6BDD71C3EC81}">
  <cacheSource type="worksheet">
    <worksheetSource name="Table1"/>
  </cacheSource>
  <cacheFields count="15">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
        <s v="S"/>
      </sharedItems>
    </cacheField>
    <cacheField name="Marital Full" numFmtId="0">
      <sharedItems count="2">
        <s v="Married"/>
        <s v="Single"/>
      </sharedItems>
    </cacheField>
    <cacheField name="Gender" numFmtId="0">
      <sharedItems count="3">
        <s v="F"/>
        <s v="Male"/>
        <s v="M"/>
      </sharedItems>
    </cacheField>
    <cacheField name="Gender Full"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s>
  <extLst>
    <ext xmlns:x14="http://schemas.microsoft.com/office/spreadsheetml/2009/9/main" uri="{725AE2AE-9491-48be-B2B4-4EB974FC3084}">
      <x14:pivotCacheDefinition pivotCacheId="6868807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x v="0"/>
    <x v="0"/>
    <x v="0"/>
    <x v="0"/>
    <x v="0"/>
  </r>
  <r>
    <x v="1"/>
    <x v="0"/>
    <x v="0"/>
    <x v="1"/>
    <x v="1"/>
    <x v="1"/>
    <x v="1"/>
    <x v="1"/>
    <x v="1"/>
    <x v="0"/>
    <x v="1"/>
    <x v="0"/>
    <x v="0"/>
    <x v="1"/>
    <x v="0"/>
  </r>
  <r>
    <x v="2"/>
    <x v="0"/>
    <x v="0"/>
    <x v="2"/>
    <x v="1"/>
    <x v="2"/>
    <x v="2"/>
    <x v="1"/>
    <x v="2"/>
    <x v="1"/>
    <x v="2"/>
    <x v="1"/>
    <x v="0"/>
    <x v="2"/>
    <x v="0"/>
  </r>
  <r>
    <x v="3"/>
    <x v="1"/>
    <x v="1"/>
    <x v="2"/>
    <x v="1"/>
    <x v="3"/>
    <x v="3"/>
    <x v="0"/>
    <x v="2"/>
    <x v="0"/>
    <x v="1"/>
    <x v="2"/>
    <x v="1"/>
    <x v="3"/>
    <x v="1"/>
  </r>
  <r>
    <x v="4"/>
    <x v="1"/>
    <x v="1"/>
    <x v="2"/>
    <x v="1"/>
    <x v="1"/>
    <x v="3"/>
    <x v="0"/>
    <x v="1"/>
    <x v="1"/>
    <x v="0"/>
    <x v="0"/>
    <x v="0"/>
    <x v="4"/>
    <x v="1"/>
  </r>
  <r>
    <x v="5"/>
    <x v="0"/>
    <x v="0"/>
    <x v="0"/>
    <x v="0"/>
    <x v="4"/>
    <x v="4"/>
    <x v="1"/>
    <x v="3"/>
    <x v="0"/>
    <x v="0"/>
    <x v="3"/>
    <x v="0"/>
    <x v="5"/>
    <x v="0"/>
  </r>
  <r>
    <x v="6"/>
    <x v="1"/>
    <x v="1"/>
    <x v="2"/>
    <x v="1"/>
    <x v="5"/>
    <x v="4"/>
    <x v="2"/>
    <x v="4"/>
    <x v="0"/>
    <x v="3"/>
    <x v="0"/>
    <x v="1"/>
    <x v="6"/>
    <x v="1"/>
  </r>
  <r>
    <x v="7"/>
    <x v="0"/>
    <x v="0"/>
    <x v="2"/>
    <x v="1"/>
    <x v="0"/>
    <x v="0"/>
    <x v="0"/>
    <x v="0"/>
    <x v="0"/>
    <x v="0"/>
    <x v="0"/>
    <x v="0"/>
    <x v="1"/>
    <x v="1"/>
  </r>
  <r>
    <x v="8"/>
    <x v="0"/>
    <x v="0"/>
    <x v="2"/>
    <x v="1"/>
    <x v="6"/>
    <x v="4"/>
    <x v="3"/>
    <x v="1"/>
    <x v="0"/>
    <x v="2"/>
    <x v="2"/>
    <x v="1"/>
    <x v="7"/>
    <x v="0"/>
  </r>
  <r>
    <x v="9"/>
    <x v="0"/>
    <x v="0"/>
    <x v="2"/>
    <x v="1"/>
    <x v="7"/>
    <x v="4"/>
    <x v="1"/>
    <x v="3"/>
    <x v="0"/>
    <x v="1"/>
    <x v="0"/>
    <x v="0"/>
    <x v="8"/>
    <x v="1"/>
  </r>
  <r>
    <x v="10"/>
    <x v="0"/>
    <x v="0"/>
    <x v="0"/>
    <x v="0"/>
    <x v="1"/>
    <x v="1"/>
    <x v="2"/>
    <x v="0"/>
    <x v="1"/>
    <x v="2"/>
    <x v="3"/>
    <x v="1"/>
    <x v="9"/>
    <x v="1"/>
  </r>
  <r>
    <x v="11"/>
    <x v="1"/>
    <x v="1"/>
    <x v="0"/>
    <x v="0"/>
    <x v="8"/>
    <x v="3"/>
    <x v="0"/>
    <x v="2"/>
    <x v="1"/>
    <x v="3"/>
    <x v="4"/>
    <x v="1"/>
    <x v="4"/>
    <x v="0"/>
  </r>
  <r>
    <x v="12"/>
    <x v="0"/>
    <x v="0"/>
    <x v="2"/>
    <x v="1"/>
    <x v="9"/>
    <x v="2"/>
    <x v="1"/>
    <x v="2"/>
    <x v="0"/>
    <x v="0"/>
    <x v="0"/>
    <x v="0"/>
    <x v="10"/>
    <x v="0"/>
  </r>
  <r>
    <x v="13"/>
    <x v="0"/>
    <x v="0"/>
    <x v="2"/>
    <x v="1"/>
    <x v="0"/>
    <x v="4"/>
    <x v="1"/>
    <x v="1"/>
    <x v="0"/>
    <x v="1"/>
    <x v="3"/>
    <x v="0"/>
    <x v="11"/>
    <x v="1"/>
  </r>
  <r>
    <x v="14"/>
    <x v="1"/>
    <x v="1"/>
    <x v="2"/>
    <x v="1"/>
    <x v="10"/>
    <x v="0"/>
    <x v="1"/>
    <x v="0"/>
    <x v="1"/>
    <x v="1"/>
    <x v="0"/>
    <x v="1"/>
    <x v="12"/>
    <x v="1"/>
  </r>
  <r>
    <x v="15"/>
    <x v="1"/>
    <x v="1"/>
    <x v="0"/>
    <x v="0"/>
    <x v="4"/>
    <x v="4"/>
    <x v="2"/>
    <x v="3"/>
    <x v="0"/>
    <x v="1"/>
    <x v="0"/>
    <x v="0"/>
    <x v="13"/>
    <x v="1"/>
  </r>
  <r>
    <x v="16"/>
    <x v="1"/>
    <x v="1"/>
    <x v="2"/>
    <x v="1"/>
    <x v="1"/>
    <x v="1"/>
    <x v="1"/>
    <x v="1"/>
    <x v="1"/>
    <x v="2"/>
    <x v="3"/>
    <x v="1"/>
    <x v="14"/>
    <x v="1"/>
  </r>
  <r>
    <x v="17"/>
    <x v="0"/>
    <x v="0"/>
    <x v="0"/>
    <x v="0"/>
    <x v="1"/>
    <x v="0"/>
    <x v="0"/>
    <x v="1"/>
    <x v="0"/>
    <x v="0"/>
    <x v="0"/>
    <x v="0"/>
    <x v="15"/>
    <x v="0"/>
  </r>
  <r>
    <x v="18"/>
    <x v="1"/>
    <x v="1"/>
    <x v="2"/>
    <x v="1"/>
    <x v="0"/>
    <x v="4"/>
    <x v="1"/>
    <x v="1"/>
    <x v="0"/>
    <x v="1"/>
    <x v="3"/>
    <x v="0"/>
    <x v="11"/>
    <x v="1"/>
  </r>
  <r>
    <x v="19"/>
    <x v="1"/>
    <x v="1"/>
    <x v="2"/>
    <x v="1"/>
    <x v="6"/>
    <x v="4"/>
    <x v="3"/>
    <x v="1"/>
    <x v="0"/>
    <x v="2"/>
    <x v="2"/>
    <x v="1"/>
    <x v="10"/>
    <x v="1"/>
  </r>
  <r>
    <x v="20"/>
    <x v="0"/>
    <x v="0"/>
    <x v="0"/>
    <x v="0"/>
    <x v="0"/>
    <x v="3"/>
    <x v="4"/>
    <x v="1"/>
    <x v="0"/>
    <x v="0"/>
    <x v="0"/>
    <x v="0"/>
    <x v="4"/>
    <x v="1"/>
  </r>
  <r>
    <x v="21"/>
    <x v="1"/>
    <x v="1"/>
    <x v="0"/>
    <x v="0"/>
    <x v="2"/>
    <x v="3"/>
    <x v="0"/>
    <x v="2"/>
    <x v="0"/>
    <x v="3"/>
    <x v="4"/>
    <x v="1"/>
    <x v="11"/>
    <x v="0"/>
  </r>
  <r>
    <x v="22"/>
    <x v="1"/>
    <x v="1"/>
    <x v="2"/>
    <x v="1"/>
    <x v="0"/>
    <x v="4"/>
    <x v="1"/>
    <x v="1"/>
    <x v="0"/>
    <x v="0"/>
    <x v="3"/>
    <x v="0"/>
    <x v="11"/>
    <x v="1"/>
  </r>
  <r>
    <x v="23"/>
    <x v="0"/>
    <x v="0"/>
    <x v="0"/>
    <x v="0"/>
    <x v="2"/>
    <x v="2"/>
    <x v="2"/>
    <x v="4"/>
    <x v="1"/>
    <x v="4"/>
    <x v="2"/>
    <x v="0"/>
    <x v="16"/>
    <x v="0"/>
  </r>
  <r>
    <x v="24"/>
    <x v="1"/>
    <x v="1"/>
    <x v="2"/>
    <x v="1"/>
    <x v="0"/>
    <x v="4"/>
    <x v="1"/>
    <x v="1"/>
    <x v="1"/>
    <x v="1"/>
    <x v="0"/>
    <x v="0"/>
    <x v="17"/>
    <x v="0"/>
  </r>
  <r>
    <x v="25"/>
    <x v="1"/>
    <x v="1"/>
    <x v="2"/>
    <x v="1"/>
    <x v="1"/>
    <x v="0"/>
    <x v="0"/>
    <x v="1"/>
    <x v="0"/>
    <x v="0"/>
    <x v="0"/>
    <x v="0"/>
    <x v="18"/>
    <x v="0"/>
  </r>
  <r>
    <x v="26"/>
    <x v="1"/>
    <x v="1"/>
    <x v="2"/>
    <x v="1"/>
    <x v="1"/>
    <x v="3"/>
    <x v="1"/>
    <x v="1"/>
    <x v="1"/>
    <x v="1"/>
    <x v="0"/>
    <x v="0"/>
    <x v="19"/>
    <x v="1"/>
  </r>
  <r>
    <x v="27"/>
    <x v="1"/>
    <x v="1"/>
    <x v="0"/>
    <x v="0"/>
    <x v="11"/>
    <x v="3"/>
    <x v="0"/>
    <x v="2"/>
    <x v="1"/>
    <x v="1"/>
    <x v="2"/>
    <x v="1"/>
    <x v="8"/>
    <x v="0"/>
  </r>
  <r>
    <x v="28"/>
    <x v="0"/>
    <x v="0"/>
    <x v="2"/>
    <x v="1"/>
    <x v="3"/>
    <x v="2"/>
    <x v="1"/>
    <x v="0"/>
    <x v="0"/>
    <x v="2"/>
    <x v="2"/>
    <x v="1"/>
    <x v="20"/>
    <x v="0"/>
  </r>
  <r>
    <x v="29"/>
    <x v="1"/>
    <x v="1"/>
    <x v="0"/>
    <x v="0"/>
    <x v="6"/>
    <x v="3"/>
    <x v="3"/>
    <x v="3"/>
    <x v="1"/>
    <x v="2"/>
    <x v="0"/>
    <x v="0"/>
    <x v="21"/>
    <x v="1"/>
  </r>
  <r>
    <x v="30"/>
    <x v="0"/>
    <x v="0"/>
    <x v="0"/>
    <x v="0"/>
    <x v="6"/>
    <x v="4"/>
    <x v="1"/>
    <x v="3"/>
    <x v="0"/>
    <x v="0"/>
    <x v="0"/>
    <x v="0"/>
    <x v="18"/>
    <x v="0"/>
  </r>
  <r>
    <x v="31"/>
    <x v="0"/>
    <x v="0"/>
    <x v="2"/>
    <x v="1"/>
    <x v="4"/>
    <x v="3"/>
    <x v="1"/>
    <x v="3"/>
    <x v="1"/>
    <x v="1"/>
    <x v="0"/>
    <x v="1"/>
    <x v="22"/>
    <x v="1"/>
  </r>
  <r>
    <x v="32"/>
    <x v="1"/>
    <x v="1"/>
    <x v="0"/>
    <x v="0"/>
    <x v="6"/>
    <x v="3"/>
    <x v="2"/>
    <x v="3"/>
    <x v="1"/>
    <x v="1"/>
    <x v="2"/>
    <x v="0"/>
    <x v="23"/>
    <x v="0"/>
  </r>
  <r>
    <x v="33"/>
    <x v="1"/>
    <x v="1"/>
    <x v="2"/>
    <x v="1"/>
    <x v="2"/>
    <x v="4"/>
    <x v="2"/>
    <x v="0"/>
    <x v="1"/>
    <x v="2"/>
    <x v="3"/>
    <x v="1"/>
    <x v="5"/>
    <x v="1"/>
  </r>
  <r>
    <x v="34"/>
    <x v="1"/>
    <x v="1"/>
    <x v="2"/>
    <x v="1"/>
    <x v="8"/>
    <x v="2"/>
    <x v="1"/>
    <x v="2"/>
    <x v="1"/>
    <x v="2"/>
    <x v="1"/>
    <x v="0"/>
    <x v="24"/>
    <x v="1"/>
  </r>
  <r>
    <x v="35"/>
    <x v="1"/>
    <x v="1"/>
    <x v="0"/>
    <x v="0"/>
    <x v="4"/>
    <x v="2"/>
    <x v="3"/>
    <x v="3"/>
    <x v="1"/>
    <x v="2"/>
    <x v="0"/>
    <x v="0"/>
    <x v="3"/>
    <x v="0"/>
  </r>
  <r>
    <x v="36"/>
    <x v="0"/>
    <x v="0"/>
    <x v="0"/>
    <x v="0"/>
    <x v="4"/>
    <x v="4"/>
    <x v="1"/>
    <x v="3"/>
    <x v="0"/>
    <x v="1"/>
    <x v="0"/>
    <x v="0"/>
    <x v="5"/>
    <x v="1"/>
  </r>
  <r>
    <x v="37"/>
    <x v="1"/>
    <x v="1"/>
    <x v="0"/>
    <x v="0"/>
    <x v="1"/>
    <x v="3"/>
    <x v="1"/>
    <x v="1"/>
    <x v="1"/>
    <x v="1"/>
    <x v="1"/>
    <x v="0"/>
    <x v="25"/>
    <x v="0"/>
  </r>
  <r>
    <x v="38"/>
    <x v="1"/>
    <x v="1"/>
    <x v="2"/>
    <x v="1"/>
    <x v="6"/>
    <x v="3"/>
    <x v="2"/>
    <x v="3"/>
    <x v="1"/>
    <x v="1"/>
    <x v="1"/>
    <x v="0"/>
    <x v="26"/>
    <x v="0"/>
  </r>
  <r>
    <x v="39"/>
    <x v="1"/>
    <x v="1"/>
    <x v="0"/>
    <x v="0"/>
    <x v="4"/>
    <x v="5"/>
    <x v="3"/>
    <x v="3"/>
    <x v="0"/>
    <x v="2"/>
    <x v="0"/>
    <x v="0"/>
    <x v="8"/>
    <x v="1"/>
  </r>
  <r>
    <x v="40"/>
    <x v="1"/>
    <x v="1"/>
    <x v="0"/>
    <x v="0"/>
    <x v="1"/>
    <x v="4"/>
    <x v="1"/>
    <x v="1"/>
    <x v="1"/>
    <x v="0"/>
    <x v="0"/>
    <x v="0"/>
    <x v="1"/>
    <x v="0"/>
  </r>
  <r>
    <x v="41"/>
    <x v="1"/>
    <x v="1"/>
    <x v="0"/>
    <x v="0"/>
    <x v="0"/>
    <x v="4"/>
    <x v="0"/>
    <x v="4"/>
    <x v="0"/>
    <x v="2"/>
    <x v="2"/>
    <x v="1"/>
    <x v="27"/>
    <x v="1"/>
  </r>
  <r>
    <x v="42"/>
    <x v="0"/>
    <x v="0"/>
    <x v="0"/>
    <x v="0"/>
    <x v="4"/>
    <x v="0"/>
    <x v="4"/>
    <x v="3"/>
    <x v="0"/>
    <x v="0"/>
    <x v="0"/>
    <x v="0"/>
    <x v="8"/>
    <x v="0"/>
  </r>
  <r>
    <x v="43"/>
    <x v="0"/>
    <x v="0"/>
    <x v="0"/>
    <x v="0"/>
    <x v="9"/>
    <x v="5"/>
    <x v="1"/>
    <x v="2"/>
    <x v="1"/>
    <x v="4"/>
    <x v="2"/>
    <x v="0"/>
    <x v="28"/>
    <x v="1"/>
  </r>
  <r>
    <x v="44"/>
    <x v="0"/>
    <x v="0"/>
    <x v="0"/>
    <x v="0"/>
    <x v="6"/>
    <x v="1"/>
    <x v="2"/>
    <x v="3"/>
    <x v="0"/>
    <x v="0"/>
    <x v="0"/>
    <x v="0"/>
    <x v="3"/>
    <x v="1"/>
  </r>
  <r>
    <x v="45"/>
    <x v="0"/>
    <x v="0"/>
    <x v="0"/>
    <x v="0"/>
    <x v="6"/>
    <x v="0"/>
    <x v="0"/>
    <x v="1"/>
    <x v="0"/>
    <x v="0"/>
    <x v="0"/>
    <x v="0"/>
    <x v="29"/>
    <x v="1"/>
  </r>
  <r>
    <x v="46"/>
    <x v="0"/>
    <x v="0"/>
    <x v="0"/>
    <x v="0"/>
    <x v="10"/>
    <x v="0"/>
    <x v="1"/>
    <x v="0"/>
    <x v="0"/>
    <x v="1"/>
    <x v="2"/>
    <x v="1"/>
    <x v="30"/>
    <x v="1"/>
  </r>
  <r>
    <x v="47"/>
    <x v="1"/>
    <x v="1"/>
    <x v="0"/>
    <x v="0"/>
    <x v="0"/>
    <x v="4"/>
    <x v="1"/>
    <x v="0"/>
    <x v="0"/>
    <x v="2"/>
    <x v="2"/>
    <x v="1"/>
    <x v="31"/>
    <x v="1"/>
  </r>
  <r>
    <x v="48"/>
    <x v="0"/>
    <x v="0"/>
    <x v="2"/>
    <x v="1"/>
    <x v="1"/>
    <x v="4"/>
    <x v="1"/>
    <x v="1"/>
    <x v="1"/>
    <x v="2"/>
    <x v="0"/>
    <x v="0"/>
    <x v="0"/>
    <x v="0"/>
  </r>
  <r>
    <x v="49"/>
    <x v="1"/>
    <x v="1"/>
    <x v="2"/>
    <x v="1"/>
    <x v="0"/>
    <x v="3"/>
    <x v="0"/>
    <x v="1"/>
    <x v="0"/>
    <x v="0"/>
    <x v="0"/>
    <x v="0"/>
    <x v="32"/>
    <x v="1"/>
  </r>
  <r>
    <x v="50"/>
    <x v="1"/>
    <x v="1"/>
    <x v="0"/>
    <x v="0"/>
    <x v="1"/>
    <x v="3"/>
    <x v="1"/>
    <x v="1"/>
    <x v="1"/>
    <x v="1"/>
    <x v="0"/>
    <x v="0"/>
    <x v="26"/>
    <x v="0"/>
  </r>
  <r>
    <x v="51"/>
    <x v="1"/>
    <x v="1"/>
    <x v="2"/>
    <x v="1"/>
    <x v="2"/>
    <x v="3"/>
    <x v="0"/>
    <x v="2"/>
    <x v="1"/>
    <x v="3"/>
    <x v="4"/>
    <x v="1"/>
    <x v="11"/>
    <x v="0"/>
  </r>
  <r>
    <x v="52"/>
    <x v="0"/>
    <x v="0"/>
    <x v="0"/>
    <x v="0"/>
    <x v="6"/>
    <x v="0"/>
    <x v="0"/>
    <x v="1"/>
    <x v="0"/>
    <x v="0"/>
    <x v="0"/>
    <x v="0"/>
    <x v="27"/>
    <x v="0"/>
  </r>
  <r>
    <x v="53"/>
    <x v="1"/>
    <x v="1"/>
    <x v="0"/>
    <x v="0"/>
    <x v="8"/>
    <x v="5"/>
    <x v="2"/>
    <x v="4"/>
    <x v="1"/>
    <x v="4"/>
    <x v="2"/>
    <x v="0"/>
    <x v="16"/>
    <x v="0"/>
  </r>
  <r>
    <x v="54"/>
    <x v="1"/>
    <x v="1"/>
    <x v="0"/>
    <x v="0"/>
    <x v="3"/>
    <x v="3"/>
    <x v="0"/>
    <x v="2"/>
    <x v="1"/>
    <x v="1"/>
    <x v="2"/>
    <x v="1"/>
    <x v="0"/>
    <x v="0"/>
  </r>
  <r>
    <x v="55"/>
    <x v="0"/>
    <x v="0"/>
    <x v="2"/>
    <x v="1"/>
    <x v="2"/>
    <x v="5"/>
    <x v="2"/>
    <x v="2"/>
    <x v="0"/>
    <x v="2"/>
    <x v="4"/>
    <x v="0"/>
    <x v="9"/>
    <x v="0"/>
  </r>
  <r>
    <x v="56"/>
    <x v="0"/>
    <x v="0"/>
    <x v="2"/>
    <x v="1"/>
    <x v="0"/>
    <x v="3"/>
    <x v="0"/>
    <x v="1"/>
    <x v="0"/>
    <x v="0"/>
    <x v="0"/>
    <x v="0"/>
    <x v="13"/>
    <x v="1"/>
  </r>
  <r>
    <x v="57"/>
    <x v="0"/>
    <x v="0"/>
    <x v="2"/>
    <x v="1"/>
    <x v="12"/>
    <x v="5"/>
    <x v="1"/>
    <x v="2"/>
    <x v="1"/>
    <x v="3"/>
    <x v="2"/>
    <x v="0"/>
    <x v="33"/>
    <x v="1"/>
  </r>
  <r>
    <x v="58"/>
    <x v="0"/>
    <x v="0"/>
    <x v="0"/>
    <x v="0"/>
    <x v="0"/>
    <x v="0"/>
    <x v="0"/>
    <x v="0"/>
    <x v="0"/>
    <x v="0"/>
    <x v="0"/>
    <x v="0"/>
    <x v="1"/>
    <x v="1"/>
  </r>
  <r>
    <x v="59"/>
    <x v="0"/>
    <x v="0"/>
    <x v="2"/>
    <x v="1"/>
    <x v="10"/>
    <x v="4"/>
    <x v="0"/>
    <x v="2"/>
    <x v="0"/>
    <x v="1"/>
    <x v="1"/>
    <x v="1"/>
    <x v="13"/>
    <x v="1"/>
  </r>
  <r>
    <x v="60"/>
    <x v="1"/>
    <x v="1"/>
    <x v="0"/>
    <x v="0"/>
    <x v="4"/>
    <x v="0"/>
    <x v="2"/>
    <x v="3"/>
    <x v="1"/>
    <x v="1"/>
    <x v="3"/>
    <x v="0"/>
    <x v="12"/>
    <x v="0"/>
  </r>
  <r>
    <x v="61"/>
    <x v="1"/>
    <x v="1"/>
    <x v="0"/>
    <x v="0"/>
    <x v="4"/>
    <x v="4"/>
    <x v="2"/>
    <x v="3"/>
    <x v="0"/>
    <x v="0"/>
    <x v="0"/>
    <x v="0"/>
    <x v="11"/>
    <x v="0"/>
  </r>
  <r>
    <x v="62"/>
    <x v="0"/>
    <x v="0"/>
    <x v="2"/>
    <x v="1"/>
    <x v="0"/>
    <x v="4"/>
    <x v="0"/>
    <x v="4"/>
    <x v="0"/>
    <x v="1"/>
    <x v="0"/>
    <x v="1"/>
    <x v="31"/>
    <x v="1"/>
  </r>
  <r>
    <x v="63"/>
    <x v="1"/>
    <x v="1"/>
    <x v="2"/>
    <x v="1"/>
    <x v="10"/>
    <x v="5"/>
    <x v="0"/>
    <x v="2"/>
    <x v="0"/>
    <x v="4"/>
    <x v="4"/>
    <x v="1"/>
    <x v="3"/>
    <x v="0"/>
  </r>
  <r>
    <x v="64"/>
    <x v="0"/>
    <x v="0"/>
    <x v="0"/>
    <x v="0"/>
    <x v="1"/>
    <x v="0"/>
    <x v="0"/>
    <x v="1"/>
    <x v="0"/>
    <x v="0"/>
    <x v="0"/>
    <x v="0"/>
    <x v="34"/>
    <x v="1"/>
  </r>
  <r>
    <x v="65"/>
    <x v="1"/>
    <x v="1"/>
    <x v="2"/>
    <x v="1"/>
    <x v="1"/>
    <x v="4"/>
    <x v="1"/>
    <x v="1"/>
    <x v="0"/>
    <x v="2"/>
    <x v="2"/>
    <x v="1"/>
    <x v="35"/>
    <x v="0"/>
  </r>
  <r>
    <x v="66"/>
    <x v="0"/>
    <x v="0"/>
    <x v="0"/>
    <x v="0"/>
    <x v="0"/>
    <x v="3"/>
    <x v="4"/>
    <x v="1"/>
    <x v="0"/>
    <x v="0"/>
    <x v="0"/>
    <x v="0"/>
    <x v="34"/>
    <x v="1"/>
  </r>
  <r>
    <x v="67"/>
    <x v="1"/>
    <x v="1"/>
    <x v="2"/>
    <x v="1"/>
    <x v="1"/>
    <x v="3"/>
    <x v="2"/>
    <x v="3"/>
    <x v="0"/>
    <x v="1"/>
    <x v="1"/>
    <x v="0"/>
    <x v="6"/>
    <x v="1"/>
  </r>
  <r>
    <x v="68"/>
    <x v="1"/>
    <x v="1"/>
    <x v="0"/>
    <x v="0"/>
    <x v="6"/>
    <x v="5"/>
    <x v="2"/>
    <x v="3"/>
    <x v="0"/>
    <x v="1"/>
    <x v="0"/>
    <x v="0"/>
    <x v="1"/>
    <x v="1"/>
  </r>
  <r>
    <x v="69"/>
    <x v="0"/>
    <x v="0"/>
    <x v="0"/>
    <x v="0"/>
    <x v="4"/>
    <x v="3"/>
    <x v="3"/>
    <x v="3"/>
    <x v="1"/>
    <x v="2"/>
    <x v="0"/>
    <x v="0"/>
    <x v="25"/>
    <x v="0"/>
  </r>
  <r>
    <x v="70"/>
    <x v="0"/>
    <x v="0"/>
    <x v="2"/>
    <x v="1"/>
    <x v="7"/>
    <x v="3"/>
    <x v="3"/>
    <x v="2"/>
    <x v="0"/>
    <x v="3"/>
    <x v="4"/>
    <x v="1"/>
    <x v="4"/>
    <x v="1"/>
  </r>
  <r>
    <x v="71"/>
    <x v="1"/>
    <x v="1"/>
    <x v="0"/>
    <x v="0"/>
    <x v="4"/>
    <x v="3"/>
    <x v="3"/>
    <x v="3"/>
    <x v="1"/>
    <x v="2"/>
    <x v="0"/>
    <x v="0"/>
    <x v="11"/>
    <x v="0"/>
  </r>
  <r>
    <x v="72"/>
    <x v="0"/>
    <x v="0"/>
    <x v="0"/>
    <x v="0"/>
    <x v="12"/>
    <x v="1"/>
    <x v="2"/>
    <x v="2"/>
    <x v="0"/>
    <x v="3"/>
    <x v="0"/>
    <x v="0"/>
    <x v="31"/>
    <x v="0"/>
  </r>
  <r>
    <x v="73"/>
    <x v="1"/>
    <x v="1"/>
    <x v="0"/>
    <x v="0"/>
    <x v="6"/>
    <x v="3"/>
    <x v="1"/>
    <x v="3"/>
    <x v="1"/>
    <x v="1"/>
    <x v="1"/>
    <x v="0"/>
    <x v="4"/>
    <x v="1"/>
  </r>
  <r>
    <x v="74"/>
    <x v="0"/>
    <x v="0"/>
    <x v="0"/>
    <x v="0"/>
    <x v="6"/>
    <x v="1"/>
    <x v="2"/>
    <x v="0"/>
    <x v="1"/>
    <x v="2"/>
    <x v="3"/>
    <x v="1"/>
    <x v="24"/>
    <x v="0"/>
  </r>
  <r>
    <x v="75"/>
    <x v="1"/>
    <x v="1"/>
    <x v="0"/>
    <x v="0"/>
    <x v="12"/>
    <x v="5"/>
    <x v="2"/>
    <x v="4"/>
    <x v="0"/>
    <x v="3"/>
    <x v="0"/>
    <x v="1"/>
    <x v="23"/>
    <x v="0"/>
  </r>
  <r>
    <x v="76"/>
    <x v="1"/>
    <x v="1"/>
    <x v="0"/>
    <x v="0"/>
    <x v="6"/>
    <x v="3"/>
    <x v="3"/>
    <x v="3"/>
    <x v="1"/>
    <x v="2"/>
    <x v="3"/>
    <x v="0"/>
    <x v="22"/>
    <x v="0"/>
  </r>
  <r>
    <x v="77"/>
    <x v="0"/>
    <x v="0"/>
    <x v="2"/>
    <x v="1"/>
    <x v="2"/>
    <x v="3"/>
    <x v="0"/>
    <x v="2"/>
    <x v="0"/>
    <x v="2"/>
    <x v="4"/>
    <x v="1"/>
    <x v="19"/>
    <x v="1"/>
  </r>
  <r>
    <x v="78"/>
    <x v="0"/>
    <x v="0"/>
    <x v="2"/>
    <x v="1"/>
    <x v="2"/>
    <x v="4"/>
    <x v="2"/>
    <x v="0"/>
    <x v="1"/>
    <x v="2"/>
    <x v="3"/>
    <x v="1"/>
    <x v="5"/>
    <x v="1"/>
  </r>
  <r>
    <x v="79"/>
    <x v="1"/>
    <x v="1"/>
    <x v="2"/>
    <x v="1"/>
    <x v="0"/>
    <x v="4"/>
    <x v="0"/>
    <x v="4"/>
    <x v="0"/>
    <x v="2"/>
    <x v="2"/>
    <x v="1"/>
    <x v="18"/>
    <x v="1"/>
  </r>
  <r>
    <x v="80"/>
    <x v="0"/>
    <x v="0"/>
    <x v="0"/>
    <x v="0"/>
    <x v="1"/>
    <x v="5"/>
    <x v="4"/>
    <x v="1"/>
    <x v="0"/>
    <x v="0"/>
    <x v="0"/>
    <x v="0"/>
    <x v="12"/>
    <x v="1"/>
  </r>
  <r>
    <x v="81"/>
    <x v="1"/>
    <x v="1"/>
    <x v="0"/>
    <x v="0"/>
    <x v="4"/>
    <x v="5"/>
    <x v="3"/>
    <x v="3"/>
    <x v="0"/>
    <x v="2"/>
    <x v="0"/>
    <x v="0"/>
    <x v="8"/>
    <x v="0"/>
  </r>
  <r>
    <x v="82"/>
    <x v="0"/>
    <x v="0"/>
    <x v="2"/>
    <x v="1"/>
    <x v="1"/>
    <x v="3"/>
    <x v="0"/>
    <x v="1"/>
    <x v="0"/>
    <x v="0"/>
    <x v="0"/>
    <x v="0"/>
    <x v="15"/>
    <x v="1"/>
  </r>
  <r>
    <x v="83"/>
    <x v="1"/>
    <x v="1"/>
    <x v="2"/>
    <x v="1"/>
    <x v="6"/>
    <x v="3"/>
    <x v="2"/>
    <x v="3"/>
    <x v="1"/>
    <x v="1"/>
    <x v="1"/>
    <x v="0"/>
    <x v="19"/>
    <x v="0"/>
  </r>
  <r>
    <x v="84"/>
    <x v="1"/>
    <x v="1"/>
    <x v="2"/>
    <x v="1"/>
    <x v="0"/>
    <x v="4"/>
    <x v="0"/>
    <x v="4"/>
    <x v="1"/>
    <x v="1"/>
    <x v="2"/>
    <x v="1"/>
    <x v="31"/>
    <x v="1"/>
  </r>
  <r>
    <x v="85"/>
    <x v="1"/>
    <x v="1"/>
    <x v="2"/>
    <x v="1"/>
    <x v="4"/>
    <x v="3"/>
    <x v="1"/>
    <x v="3"/>
    <x v="0"/>
    <x v="1"/>
    <x v="3"/>
    <x v="1"/>
    <x v="22"/>
    <x v="1"/>
  </r>
  <r>
    <x v="86"/>
    <x v="1"/>
    <x v="1"/>
    <x v="2"/>
    <x v="1"/>
    <x v="12"/>
    <x v="1"/>
    <x v="1"/>
    <x v="2"/>
    <x v="1"/>
    <x v="4"/>
    <x v="0"/>
    <x v="0"/>
    <x v="36"/>
    <x v="1"/>
  </r>
  <r>
    <x v="87"/>
    <x v="0"/>
    <x v="0"/>
    <x v="2"/>
    <x v="1"/>
    <x v="2"/>
    <x v="2"/>
    <x v="0"/>
    <x v="2"/>
    <x v="0"/>
    <x v="3"/>
    <x v="3"/>
    <x v="1"/>
    <x v="8"/>
    <x v="0"/>
  </r>
  <r>
    <x v="88"/>
    <x v="1"/>
    <x v="1"/>
    <x v="2"/>
    <x v="1"/>
    <x v="1"/>
    <x v="3"/>
    <x v="1"/>
    <x v="1"/>
    <x v="1"/>
    <x v="1"/>
    <x v="1"/>
    <x v="0"/>
    <x v="19"/>
    <x v="0"/>
  </r>
  <r>
    <x v="89"/>
    <x v="0"/>
    <x v="0"/>
    <x v="2"/>
    <x v="1"/>
    <x v="6"/>
    <x v="0"/>
    <x v="2"/>
    <x v="3"/>
    <x v="1"/>
    <x v="1"/>
    <x v="3"/>
    <x v="0"/>
    <x v="8"/>
    <x v="1"/>
  </r>
  <r>
    <x v="90"/>
    <x v="1"/>
    <x v="1"/>
    <x v="0"/>
    <x v="0"/>
    <x v="1"/>
    <x v="3"/>
    <x v="1"/>
    <x v="1"/>
    <x v="1"/>
    <x v="1"/>
    <x v="0"/>
    <x v="0"/>
    <x v="19"/>
    <x v="1"/>
  </r>
  <r>
    <x v="91"/>
    <x v="1"/>
    <x v="1"/>
    <x v="2"/>
    <x v="1"/>
    <x v="1"/>
    <x v="3"/>
    <x v="1"/>
    <x v="1"/>
    <x v="1"/>
    <x v="1"/>
    <x v="0"/>
    <x v="0"/>
    <x v="25"/>
    <x v="1"/>
  </r>
  <r>
    <x v="92"/>
    <x v="1"/>
    <x v="1"/>
    <x v="0"/>
    <x v="0"/>
    <x v="10"/>
    <x v="4"/>
    <x v="0"/>
    <x v="2"/>
    <x v="0"/>
    <x v="1"/>
    <x v="1"/>
    <x v="1"/>
    <x v="34"/>
    <x v="1"/>
  </r>
  <r>
    <x v="93"/>
    <x v="1"/>
    <x v="1"/>
    <x v="0"/>
    <x v="0"/>
    <x v="1"/>
    <x v="3"/>
    <x v="1"/>
    <x v="1"/>
    <x v="1"/>
    <x v="1"/>
    <x v="1"/>
    <x v="0"/>
    <x v="6"/>
    <x v="0"/>
  </r>
  <r>
    <x v="94"/>
    <x v="1"/>
    <x v="1"/>
    <x v="0"/>
    <x v="0"/>
    <x v="1"/>
    <x v="1"/>
    <x v="2"/>
    <x v="0"/>
    <x v="0"/>
    <x v="2"/>
    <x v="2"/>
    <x v="1"/>
    <x v="10"/>
    <x v="0"/>
  </r>
  <r>
    <x v="95"/>
    <x v="1"/>
    <x v="1"/>
    <x v="0"/>
    <x v="0"/>
    <x v="8"/>
    <x v="2"/>
    <x v="1"/>
    <x v="2"/>
    <x v="0"/>
    <x v="2"/>
    <x v="4"/>
    <x v="0"/>
    <x v="24"/>
    <x v="0"/>
  </r>
  <r>
    <x v="96"/>
    <x v="0"/>
    <x v="0"/>
    <x v="2"/>
    <x v="1"/>
    <x v="1"/>
    <x v="0"/>
    <x v="1"/>
    <x v="1"/>
    <x v="0"/>
    <x v="1"/>
    <x v="0"/>
    <x v="0"/>
    <x v="1"/>
    <x v="0"/>
  </r>
  <r>
    <x v="97"/>
    <x v="0"/>
    <x v="0"/>
    <x v="2"/>
    <x v="1"/>
    <x v="0"/>
    <x v="0"/>
    <x v="0"/>
    <x v="0"/>
    <x v="0"/>
    <x v="1"/>
    <x v="0"/>
    <x v="0"/>
    <x v="20"/>
    <x v="1"/>
  </r>
  <r>
    <x v="98"/>
    <x v="0"/>
    <x v="0"/>
    <x v="2"/>
    <x v="1"/>
    <x v="0"/>
    <x v="3"/>
    <x v="4"/>
    <x v="1"/>
    <x v="0"/>
    <x v="0"/>
    <x v="0"/>
    <x v="0"/>
    <x v="37"/>
    <x v="1"/>
  </r>
  <r>
    <x v="99"/>
    <x v="0"/>
    <x v="0"/>
    <x v="0"/>
    <x v="0"/>
    <x v="6"/>
    <x v="1"/>
    <x v="2"/>
    <x v="3"/>
    <x v="0"/>
    <x v="2"/>
    <x v="0"/>
    <x v="0"/>
    <x v="1"/>
    <x v="0"/>
  </r>
  <r>
    <x v="100"/>
    <x v="1"/>
    <x v="1"/>
    <x v="2"/>
    <x v="1"/>
    <x v="4"/>
    <x v="4"/>
    <x v="2"/>
    <x v="3"/>
    <x v="0"/>
    <x v="0"/>
    <x v="0"/>
    <x v="0"/>
    <x v="11"/>
    <x v="0"/>
  </r>
  <r>
    <x v="101"/>
    <x v="1"/>
    <x v="1"/>
    <x v="2"/>
    <x v="1"/>
    <x v="10"/>
    <x v="1"/>
    <x v="0"/>
    <x v="2"/>
    <x v="1"/>
    <x v="2"/>
    <x v="0"/>
    <x v="1"/>
    <x v="1"/>
    <x v="1"/>
  </r>
  <r>
    <x v="102"/>
    <x v="0"/>
    <x v="0"/>
    <x v="2"/>
    <x v="1"/>
    <x v="4"/>
    <x v="4"/>
    <x v="1"/>
    <x v="3"/>
    <x v="0"/>
    <x v="0"/>
    <x v="3"/>
    <x v="0"/>
    <x v="38"/>
    <x v="0"/>
  </r>
  <r>
    <x v="103"/>
    <x v="1"/>
    <x v="1"/>
    <x v="2"/>
    <x v="1"/>
    <x v="10"/>
    <x v="0"/>
    <x v="1"/>
    <x v="0"/>
    <x v="0"/>
    <x v="1"/>
    <x v="2"/>
    <x v="1"/>
    <x v="12"/>
    <x v="0"/>
  </r>
  <r>
    <x v="104"/>
    <x v="1"/>
    <x v="1"/>
    <x v="0"/>
    <x v="0"/>
    <x v="3"/>
    <x v="4"/>
    <x v="2"/>
    <x v="2"/>
    <x v="0"/>
    <x v="2"/>
    <x v="2"/>
    <x v="1"/>
    <x v="38"/>
    <x v="1"/>
  </r>
  <r>
    <x v="105"/>
    <x v="1"/>
    <x v="1"/>
    <x v="0"/>
    <x v="0"/>
    <x v="1"/>
    <x v="3"/>
    <x v="1"/>
    <x v="1"/>
    <x v="1"/>
    <x v="1"/>
    <x v="1"/>
    <x v="0"/>
    <x v="25"/>
    <x v="0"/>
  </r>
  <r>
    <x v="106"/>
    <x v="0"/>
    <x v="0"/>
    <x v="2"/>
    <x v="1"/>
    <x v="3"/>
    <x v="4"/>
    <x v="1"/>
    <x v="0"/>
    <x v="0"/>
    <x v="2"/>
    <x v="2"/>
    <x v="1"/>
    <x v="31"/>
    <x v="1"/>
  </r>
  <r>
    <x v="107"/>
    <x v="1"/>
    <x v="1"/>
    <x v="0"/>
    <x v="0"/>
    <x v="0"/>
    <x v="4"/>
    <x v="1"/>
    <x v="0"/>
    <x v="1"/>
    <x v="2"/>
    <x v="3"/>
    <x v="1"/>
    <x v="39"/>
    <x v="1"/>
  </r>
  <r>
    <x v="108"/>
    <x v="0"/>
    <x v="0"/>
    <x v="0"/>
    <x v="0"/>
    <x v="0"/>
    <x v="3"/>
    <x v="0"/>
    <x v="1"/>
    <x v="0"/>
    <x v="0"/>
    <x v="0"/>
    <x v="0"/>
    <x v="13"/>
    <x v="1"/>
  </r>
  <r>
    <x v="109"/>
    <x v="1"/>
    <x v="1"/>
    <x v="2"/>
    <x v="1"/>
    <x v="0"/>
    <x v="3"/>
    <x v="0"/>
    <x v="2"/>
    <x v="1"/>
    <x v="0"/>
    <x v="0"/>
    <x v="0"/>
    <x v="32"/>
    <x v="1"/>
  </r>
  <r>
    <x v="110"/>
    <x v="1"/>
    <x v="1"/>
    <x v="0"/>
    <x v="0"/>
    <x v="1"/>
    <x v="0"/>
    <x v="1"/>
    <x v="3"/>
    <x v="1"/>
    <x v="0"/>
    <x v="0"/>
    <x v="0"/>
    <x v="30"/>
    <x v="1"/>
  </r>
  <r>
    <x v="111"/>
    <x v="1"/>
    <x v="1"/>
    <x v="0"/>
    <x v="0"/>
    <x v="3"/>
    <x v="3"/>
    <x v="0"/>
    <x v="2"/>
    <x v="1"/>
    <x v="1"/>
    <x v="2"/>
    <x v="1"/>
    <x v="13"/>
    <x v="0"/>
  </r>
  <r>
    <x v="112"/>
    <x v="1"/>
    <x v="1"/>
    <x v="0"/>
    <x v="0"/>
    <x v="0"/>
    <x v="4"/>
    <x v="1"/>
    <x v="1"/>
    <x v="0"/>
    <x v="2"/>
    <x v="3"/>
    <x v="0"/>
    <x v="11"/>
    <x v="0"/>
  </r>
  <r>
    <x v="113"/>
    <x v="1"/>
    <x v="1"/>
    <x v="0"/>
    <x v="0"/>
    <x v="12"/>
    <x v="0"/>
    <x v="4"/>
    <x v="4"/>
    <x v="1"/>
    <x v="1"/>
    <x v="0"/>
    <x v="1"/>
    <x v="4"/>
    <x v="1"/>
  </r>
  <r>
    <x v="114"/>
    <x v="0"/>
    <x v="0"/>
    <x v="2"/>
    <x v="1"/>
    <x v="6"/>
    <x v="3"/>
    <x v="0"/>
    <x v="1"/>
    <x v="0"/>
    <x v="0"/>
    <x v="0"/>
    <x v="1"/>
    <x v="22"/>
    <x v="1"/>
  </r>
  <r>
    <x v="115"/>
    <x v="1"/>
    <x v="1"/>
    <x v="2"/>
    <x v="1"/>
    <x v="4"/>
    <x v="3"/>
    <x v="4"/>
    <x v="3"/>
    <x v="1"/>
    <x v="0"/>
    <x v="0"/>
    <x v="0"/>
    <x v="25"/>
    <x v="1"/>
  </r>
  <r>
    <x v="116"/>
    <x v="0"/>
    <x v="0"/>
    <x v="0"/>
    <x v="0"/>
    <x v="1"/>
    <x v="0"/>
    <x v="0"/>
    <x v="0"/>
    <x v="0"/>
    <x v="2"/>
    <x v="0"/>
    <x v="0"/>
    <x v="0"/>
    <x v="0"/>
  </r>
  <r>
    <x v="117"/>
    <x v="1"/>
    <x v="1"/>
    <x v="0"/>
    <x v="0"/>
    <x v="6"/>
    <x v="3"/>
    <x v="2"/>
    <x v="3"/>
    <x v="0"/>
    <x v="0"/>
    <x v="0"/>
    <x v="0"/>
    <x v="8"/>
    <x v="1"/>
  </r>
  <r>
    <x v="118"/>
    <x v="0"/>
    <x v="0"/>
    <x v="2"/>
    <x v="1"/>
    <x v="2"/>
    <x v="2"/>
    <x v="0"/>
    <x v="4"/>
    <x v="0"/>
    <x v="2"/>
    <x v="1"/>
    <x v="0"/>
    <x v="24"/>
    <x v="0"/>
  </r>
  <r>
    <x v="119"/>
    <x v="1"/>
    <x v="1"/>
    <x v="0"/>
    <x v="0"/>
    <x v="1"/>
    <x v="3"/>
    <x v="1"/>
    <x v="1"/>
    <x v="1"/>
    <x v="1"/>
    <x v="1"/>
    <x v="0"/>
    <x v="19"/>
    <x v="0"/>
  </r>
  <r>
    <x v="120"/>
    <x v="0"/>
    <x v="0"/>
    <x v="0"/>
    <x v="0"/>
    <x v="0"/>
    <x v="4"/>
    <x v="0"/>
    <x v="4"/>
    <x v="0"/>
    <x v="2"/>
    <x v="2"/>
    <x v="1"/>
    <x v="29"/>
    <x v="1"/>
  </r>
  <r>
    <x v="121"/>
    <x v="0"/>
    <x v="0"/>
    <x v="2"/>
    <x v="1"/>
    <x v="13"/>
    <x v="4"/>
    <x v="2"/>
    <x v="2"/>
    <x v="0"/>
    <x v="3"/>
    <x v="0"/>
    <x v="0"/>
    <x v="28"/>
    <x v="0"/>
  </r>
  <r>
    <x v="122"/>
    <x v="1"/>
    <x v="1"/>
    <x v="0"/>
    <x v="0"/>
    <x v="2"/>
    <x v="3"/>
    <x v="0"/>
    <x v="2"/>
    <x v="1"/>
    <x v="4"/>
    <x v="4"/>
    <x v="1"/>
    <x v="23"/>
    <x v="0"/>
  </r>
  <r>
    <x v="123"/>
    <x v="1"/>
    <x v="1"/>
    <x v="0"/>
    <x v="0"/>
    <x v="11"/>
    <x v="1"/>
    <x v="1"/>
    <x v="4"/>
    <x v="1"/>
    <x v="3"/>
    <x v="2"/>
    <x v="0"/>
    <x v="16"/>
    <x v="0"/>
  </r>
  <r>
    <x v="124"/>
    <x v="1"/>
    <x v="1"/>
    <x v="0"/>
    <x v="0"/>
    <x v="0"/>
    <x v="3"/>
    <x v="0"/>
    <x v="1"/>
    <x v="1"/>
    <x v="0"/>
    <x v="0"/>
    <x v="0"/>
    <x v="13"/>
    <x v="1"/>
  </r>
  <r>
    <x v="125"/>
    <x v="0"/>
    <x v="0"/>
    <x v="2"/>
    <x v="1"/>
    <x v="2"/>
    <x v="2"/>
    <x v="0"/>
    <x v="2"/>
    <x v="0"/>
    <x v="3"/>
    <x v="3"/>
    <x v="1"/>
    <x v="8"/>
    <x v="0"/>
  </r>
  <r>
    <x v="126"/>
    <x v="1"/>
    <x v="1"/>
    <x v="2"/>
    <x v="1"/>
    <x v="1"/>
    <x v="3"/>
    <x v="1"/>
    <x v="1"/>
    <x v="0"/>
    <x v="1"/>
    <x v="1"/>
    <x v="0"/>
    <x v="21"/>
    <x v="0"/>
  </r>
  <r>
    <x v="127"/>
    <x v="0"/>
    <x v="0"/>
    <x v="2"/>
    <x v="1"/>
    <x v="1"/>
    <x v="0"/>
    <x v="0"/>
    <x v="1"/>
    <x v="0"/>
    <x v="1"/>
    <x v="1"/>
    <x v="0"/>
    <x v="32"/>
    <x v="0"/>
  </r>
  <r>
    <x v="128"/>
    <x v="1"/>
    <x v="1"/>
    <x v="2"/>
    <x v="1"/>
    <x v="4"/>
    <x v="4"/>
    <x v="1"/>
    <x v="3"/>
    <x v="0"/>
    <x v="1"/>
    <x v="0"/>
    <x v="0"/>
    <x v="31"/>
    <x v="1"/>
  </r>
  <r>
    <x v="129"/>
    <x v="1"/>
    <x v="1"/>
    <x v="2"/>
    <x v="1"/>
    <x v="4"/>
    <x v="1"/>
    <x v="2"/>
    <x v="3"/>
    <x v="0"/>
    <x v="1"/>
    <x v="0"/>
    <x v="0"/>
    <x v="32"/>
    <x v="1"/>
  </r>
  <r>
    <x v="130"/>
    <x v="0"/>
    <x v="0"/>
    <x v="2"/>
    <x v="1"/>
    <x v="10"/>
    <x v="4"/>
    <x v="0"/>
    <x v="2"/>
    <x v="0"/>
    <x v="1"/>
    <x v="1"/>
    <x v="1"/>
    <x v="34"/>
    <x v="0"/>
  </r>
  <r>
    <x v="131"/>
    <x v="0"/>
    <x v="0"/>
    <x v="2"/>
    <x v="1"/>
    <x v="8"/>
    <x v="5"/>
    <x v="2"/>
    <x v="4"/>
    <x v="0"/>
    <x v="4"/>
    <x v="2"/>
    <x v="0"/>
    <x v="16"/>
    <x v="1"/>
  </r>
  <r>
    <x v="132"/>
    <x v="0"/>
    <x v="0"/>
    <x v="2"/>
    <x v="1"/>
    <x v="0"/>
    <x v="3"/>
    <x v="0"/>
    <x v="2"/>
    <x v="0"/>
    <x v="0"/>
    <x v="0"/>
    <x v="0"/>
    <x v="8"/>
    <x v="1"/>
  </r>
  <r>
    <x v="133"/>
    <x v="1"/>
    <x v="1"/>
    <x v="2"/>
    <x v="1"/>
    <x v="0"/>
    <x v="4"/>
    <x v="0"/>
    <x v="4"/>
    <x v="0"/>
    <x v="2"/>
    <x v="2"/>
    <x v="1"/>
    <x v="27"/>
    <x v="1"/>
  </r>
  <r>
    <x v="134"/>
    <x v="1"/>
    <x v="1"/>
    <x v="0"/>
    <x v="0"/>
    <x v="1"/>
    <x v="4"/>
    <x v="1"/>
    <x v="1"/>
    <x v="0"/>
    <x v="2"/>
    <x v="0"/>
    <x v="0"/>
    <x v="0"/>
    <x v="0"/>
  </r>
  <r>
    <x v="135"/>
    <x v="0"/>
    <x v="0"/>
    <x v="2"/>
    <x v="1"/>
    <x v="4"/>
    <x v="4"/>
    <x v="1"/>
    <x v="3"/>
    <x v="0"/>
    <x v="1"/>
    <x v="1"/>
    <x v="0"/>
    <x v="31"/>
    <x v="0"/>
  </r>
  <r>
    <x v="136"/>
    <x v="1"/>
    <x v="1"/>
    <x v="0"/>
    <x v="0"/>
    <x v="4"/>
    <x v="0"/>
    <x v="2"/>
    <x v="3"/>
    <x v="1"/>
    <x v="1"/>
    <x v="2"/>
    <x v="0"/>
    <x v="11"/>
    <x v="1"/>
  </r>
  <r>
    <x v="137"/>
    <x v="1"/>
    <x v="1"/>
    <x v="2"/>
    <x v="1"/>
    <x v="6"/>
    <x v="4"/>
    <x v="2"/>
    <x v="3"/>
    <x v="0"/>
    <x v="2"/>
    <x v="0"/>
    <x v="0"/>
    <x v="0"/>
    <x v="0"/>
  </r>
  <r>
    <x v="138"/>
    <x v="0"/>
    <x v="0"/>
    <x v="0"/>
    <x v="0"/>
    <x v="6"/>
    <x v="4"/>
    <x v="3"/>
    <x v="1"/>
    <x v="0"/>
    <x v="2"/>
    <x v="2"/>
    <x v="1"/>
    <x v="10"/>
    <x v="1"/>
  </r>
  <r>
    <x v="139"/>
    <x v="1"/>
    <x v="1"/>
    <x v="0"/>
    <x v="0"/>
    <x v="1"/>
    <x v="4"/>
    <x v="1"/>
    <x v="1"/>
    <x v="1"/>
    <x v="2"/>
    <x v="2"/>
    <x v="1"/>
    <x v="2"/>
    <x v="1"/>
  </r>
  <r>
    <x v="140"/>
    <x v="1"/>
    <x v="1"/>
    <x v="2"/>
    <x v="1"/>
    <x v="0"/>
    <x v="3"/>
    <x v="0"/>
    <x v="2"/>
    <x v="1"/>
    <x v="0"/>
    <x v="0"/>
    <x v="0"/>
    <x v="8"/>
    <x v="1"/>
  </r>
  <r>
    <x v="141"/>
    <x v="1"/>
    <x v="1"/>
    <x v="0"/>
    <x v="0"/>
    <x v="4"/>
    <x v="3"/>
    <x v="1"/>
    <x v="3"/>
    <x v="1"/>
    <x v="1"/>
    <x v="0"/>
    <x v="1"/>
    <x v="22"/>
    <x v="1"/>
  </r>
  <r>
    <x v="142"/>
    <x v="0"/>
    <x v="0"/>
    <x v="2"/>
    <x v="1"/>
    <x v="0"/>
    <x v="0"/>
    <x v="0"/>
    <x v="0"/>
    <x v="0"/>
    <x v="0"/>
    <x v="0"/>
    <x v="0"/>
    <x v="0"/>
    <x v="1"/>
  </r>
  <r>
    <x v="143"/>
    <x v="0"/>
    <x v="0"/>
    <x v="0"/>
    <x v="0"/>
    <x v="2"/>
    <x v="3"/>
    <x v="0"/>
    <x v="2"/>
    <x v="0"/>
    <x v="4"/>
    <x v="4"/>
    <x v="1"/>
    <x v="21"/>
    <x v="0"/>
  </r>
  <r>
    <x v="144"/>
    <x v="1"/>
    <x v="1"/>
    <x v="2"/>
    <x v="1"/>
    <x v="1"/>
    <x v="0"/>
    <x v="0"/>
    <x v="1"/>
    <x v="0"/>
    <x v="0"/>
    <x v="3"/>
    <x v="0"/>
    <x v="34"/>
    <x v="1"/>
  </r>
  <r>
    <x v="145"/>
    <x v="0"/>
    <x v="0"/>
    <x v="0"/>
    <x v="0"/>
    <x v="0"/>
    <x v="4"/>
    <x v="1"/>
    <x v="1"/>
    <x v="1"/>
    <x v="1"/>
    <x v="0"/>
    <x v="0"/>
    <x v="17"/>
    <x v="0"/>
  </r>
  <r>
    <x v="146"/>
    <x v="0"/>
    <x v="0"/>
    <x v="2"/>
    <x v="1"/>
    <x v="0"/>
    <x v="3"/>
    <x v="4"/>
    <x v="1"/>
    <x v="0"/>
    <x v="0"/>
    <x v="0"/>
    <x v="0"/>
    <x v="34"/>
    <x v="1"/>
  </r>
  <r>
    <x v="147"/>
    <x v="0"/>
    <x v="0"/>
    <x v="0"/>
    <x v="0"/>
    <x v="0"/>
    <x v="3"/>
    <x v="0"/>
    <x v="2"/>
    <x v="1"/>
    <x v="0"/>
    <x v="0"/>
    <x v="0"/>
    <x v="8"/>
    <x v="1"/>
  </r>
  <r>
    <x v="148"/>
    <x v="0"/>
    <x v="0"/>
    <x v="2"/>
    <x v="1"/>
    <x v="6"/>
    <x v="5"/>
    <x v="2"/>
    <x v="0"/>
    <x v="0"/>
    <x v="2"/>
    <x v="2"/>
    <x v="1"/>
    <x v="2"/>
    <x v="0"/>
  </r>
  <r>
    <x v="149"/>
    <x v="1"/>
    <x v="1"/>
    <x v="2"/>
    <x v="1"/>
    <x v="1"/>
    <x v="3"/>
    <x v="1"/>
    <x v="1"/>
    <x v="1"/>
    <x v="1"/>
    <x v="3"/>
    <x v="0"/>
    <x v="40"/>
    <x v="0"/>
  </r>
  <r>
    <x v="150"/>
    <x v="0"/>
    <x v="0"/>
    <x v="2"/>
    <x v="1"/>
    <x v="10"/>
    <x v="0"/>
    <x v="1"/>
    <x v="0"/>
    <x v="0"/>
    <x v="1"/>
    <x v="2"/>
    <x v="1"/>
    <x v="1"/>
    <x v="1"/>
  </r>
  <r>
    <x v="151"/>
    <x v="1"/>
    <x v="1"/>
    <x v="2"/>
    <x v="1"/>
    <x v="11"/>
    <x v="0"/>
    <x v="0"/>
    <x v="4"/>
    <x v="1"/>
    <x v="4"/>
    <x v="0"/>
    <x v="1"/>
    <x v="28"/>
    <x v="0"/>
  </r>
  <r>
    <x v="152"/>
    <x v="1"/>
    <x v="1"/>
    <x v="0"/>
    <x v="0"/>
    <x v="6"/>
    <x v="3"/>
    <x v="3"/>
    <x v="3"/>
    <x v="1"/>
    <x v="2"/>
    <x v="3"/>
    <x v="0"/>
    <x v="21"/>
    <x v="0"/>
  </r>
  <r>
    <x v="153"/>
    <x v="0"/>
    <x v="0"/>
    <x v="2"/>
    <x v="1"/>
    <x v="11"/>
    <x v="0"/>
    <x v="0"/>
    <x v="4"/>
    <x v="0"/>
    <x v="4"/>
    <x v="1"/>
    <x v="1"/>
    <x v="15"/>
    <x v="0"/>
  </r>
  <r>
    <x v="154"/>
    <x v="1"/>
    <x v="1"/>
    <x v="2"/>
    <x v="1"/>
    <x v="2"/>
    <x v="2"/>
    <x v="4"/>
    <x v="4"/>
    <x v="0"/>
    <x v="4"/>
    <x v="0"/>
    <x v="1"/>
    <x v="8"/>
    <x v="0"/>
  </r>
  <r>
    <x v="155"/>
    <x v="1"/>
    <x v="1"/>
    <x v="0"/>
    <x v="0"/>
    <x v="4"/>
    <x v="5"/>
    <x v="3"/>
    <x v="3"/>
    <x v="0"/>
    <x v="2"/>
    <x v="0"/>
    <x v="0"/>
    <x v="3"/>
    <x v="1"/>
  </r>
  <r>
    <x v="156"/>
    <x v="0"/>
    <x v="0"/>
    <x v="0"/>
    <x v="0"/>
    <x v="12"/>
    <x v="2"/>
    <x v="1"/>
    <x v="2"/>
    <x v="0"/>
    <x v="3"/>
    <x v="0"/>
    <x v="0"/>
    <x v="14"/>
    <x v="0"/>
  </r>
  <r>
    <x v="157"/>
    <x v="1"/>
    <x v="1"/>
    <x v="2"/>
    <x v="1"/>
    <x v="4"/>
    <x v="4"/>
    <x v="1"/>
    <x v="3"/>
    <x v="1"/>
    <x v="0"/>
    <x v="0"/>
    <x v="0"/>
    <x v="5"/>
    <x v="0"/>
  </r>
  <r>
    <x v="158"/>
    <x v="1"/>
    <x v="1"/>
    <x v="0"/>
    <x v="0"/>
    <x v="6"/>
    <x v="4"/>
    <x v="1"/>
    <x v="3"/>
    <x v="1"/>
    <x v="1"/>
    <x v="0"/>
    <x v="0"/>
    <x v="9"/>
    <x v="1"/>
  </r>
  <r>
    <x v="159"/>
    <x v="0"/>
    <x v="0"/>
    <x v="0"/>
    <x v="0"/>
    <x v="4"/>
    <x v="0"/>
    <x v="0"/>
    <x v="3"/>
    <x v="0"/>
    <x v="0"/>
    <x v="0"/>
    <x v="0"/>
    <x v="28"/>
    <x v="0"/>
  </r>
  <r>
    <x v="160"/>
    <x v="1"/>
    <x v="1"/>
    <x v="0"/>
    <x v="0"/>
    <x v="10"/>
    <x v="0"/>
    <x v="0"/>
    <x v="2"/>
    <x v="0"/>
    <x v="1"/>
    <x v="2"/>
    <x v="1"/>
    <x v="20"/>
    <x v="1"/>
  </r>
  <r>
    <x v="161"/>
    <x v="0"/>
    <x v="0"/>
    <x v="0"/>
    <x v="0"/>
    <x v="6"/>
    <x v="4"/>
    <x v="2"/>
    <x v="3"/>
    <x v="0"/>
    <x v="0"/>
    <x v="0"/>
    <x v="0"/>
    <x v="8"/>
    <x v="1"/>
  </r>
  <r>
    <x v="162"/>
    <x v="1"/>
    <x v="1"/>
    <x v="0"/>
    <x v="0"/>
    <x v="10"/>
    <x v="4"/>
    <x v="0"/>
    <x v="2"/>
    <x v="1"/>
    <x v="1"/>
    <x v="0"/>
    <x v="1"/>
    <x v="13"/>
    <x v="1"/>
  </r>
  <r>
    <x v="163"/>
    <x v="1"/>
    <x v="1"/>
    <x v="2"/>
    <x v="1"/>
    <x v="0"/>
    <x v="4"/>
    <x v="1"/>
    <x v="0"/>
    <x v="1"/>
    <x v="2"/>
    <x v="3"/>
    <x v="1"/>
    <x v="31"/>
    <x v="0"/>
  </r>
  <r>
    <x v="164"/>
    <x v="0"/>
    <x v="0"/>
    <x v="2"/>
    <x v="1"/>
    <x v="4"/>
    <x v="3"/>
    <x v="1"/>
    <x v="3"/>
    <x v="0"/>
    <x v="1"/>
    <x v="1"/>
    <x v="1"/>
    <x v="37"/>
    <x v="1"/>
  </r>
  <r>
    <x v="165"/>
    <x v="0"/>
    <x v="0"/>
    <x v="0"/>
    <x v="0"/>
    <x v="4"/>
    <x v="3"/>
    <x v="1"/>
    <x v="3"/>
    <x v="1"/>
    <x v="1"/>
    <x v="0"/>
    <x v="1"/>
    <x v="37"/>
    <x v="0"/>
  </r>
  <r>
    <x v="166"/>
    <x v="1"/>
    <x v="1"/>
    <x v="2"/>
    <x v="1"/>
    <x v="8"/>
    <x v="0"/>
    <x v="0"/>
    <x v="2"/>
    <x v="0"/>
    <x v="1"/>
    <x v="1"/>
    <x v="1"/>
    <x v="15"/>
    <x v="1"/>
  </r>
  <r>
    <x v="167"/>
    <x v="1"/>
    <x v="1"/>
    <x v="2"/>
    <x v="1"/>
    <x v="11"/>
    <x v="3"/>
    <x v="2"/>
    <x v="4"/>
    <x v="0"/>
    <x v="4"/>
    <x v="4"/>
    <x v="1"/>
    <x v="11"/>
    <x v="0"/>
  </r>
  <r>
    <x v="168"/>
    <x v="1"/>
    <x v="1"/>
    <x v="2"/>
    <x v="1"/>
    <x v="3"/>
    <x v="3"/>
    <x v="0"/>
    <x v="2"/>
    <x v="1"/>
    <x v="1"/>
    <x v="2"/>
    <x v="1"/>
    <x v="3"/>
    <x v="1"/>
  </r>
  <r>
    <x v="169"/>
    <x v="0"/>
    <x v="0"/>
    <x v="2"/>
    <x v="1"/>
    <x v="1"/>
    <x v="0"/>
    <x v="0"/>
    <x v="1"/>
    <x v="0"/>
    <x v="0"/>
    <x v="0"/>
    <x v="0"/>
    <x v="15"/>
    <x v="0"/>
  </r>
  <r>
    <x v="170"/>
    <x v="0"/>
    <x v="0"/>
    <x v="0"/>
    <x v="0"/>
    <x v="12"/>
    <x v="5"/>
    <x v="1"/>
    <x v="2"/>
    <x v="0"/>
    <x v="3"/>
    <x v="2"/>
    <x v="0"/>
    <x v="33"/>
    <x v="1"/>
  </r>
  <r>
    <x v="171"/>
    <x v="0"/>
    <x v="0"/>
    <x v="0"/>
    <x v="0"/>
    <x v="2"/>
    <x v="2"/>
    <x v="0"/>
    <x v="4"/>
    <x v="0"/>
    <x v="2"/>
    <x v="1"/>
    <x v="0"/>
    <x v="33"/>
    <x v="0"/>
  </r>
  <r>
    <x v="172"/>
    <x v="0"/>
    <x v="0"/>
    <x v="2"/>
    <x v="1"/>
    <x v="4"/>
    <x v="3"/>
    <x v="3"/>
    <x v="3"/>
    <x v="1"/>
    <x v="2"/>
    <x v="0"/>
    <x v="0"/>
    <x v="6"/>
    <x v="0"/>
  </r>
  <r>
    <x v="173"/>
    <x v="0"/>
    <x v="0"/>
    <x v="0"/>
    <x v="0"/>
    <x v="4"/>
    <x v="3"/>
    <x v="1"/>
    <x v="3"/>
    <x v="0"/>
    <x v="1"/>
    <x v="1"/>
    <x v="1"/>
    <x v="40"/>
    <x v="0"/>
  </r>
  <r>
    <x v="174"/>
    <x v="1"/>
    <x v="1"/>
    <x v="2"/>
    <x v="1"/>
    <x v="14"/>
    <x v="3"/>
    <x v="4"/>
    <x v="0"/>
    <x v="0"/>
    <x v="0"/>
    <x v="0"/>
    <x v="0"/>
    <x v="34"/>
    <x v="1"/>
  </r>
  <r>
    <x v="175"/>
    <x v="1"/>
    <x v="1"/>
    <x v="0"/>
    <x v="0"/>
    <x v="2"/>
    <x v="4"/>
    <x v="1"/>
    <x v="0"/>
    <x v="0"/>
    <x v="2"/>
    <x v="2"/>
    <x v="1"/>
    <x v="31"/>
    <x v="1"/>
  </r>
  <r>
    <x v="176"/>
    <x v="1"/>
    <x v="1"/>
    <x v="0"/>
    <x v="0"/>
    <x v="6"/>
    <x v="3"/>
    <x v="1"/>
    <x v="3"/>
    <x v="0"/>
    <x v="0"/>
    <x v="0"/>
    <x v="1"/>
    <x v="19"/>
    <x v="1"/>
  </r>
  <r>
    <x v="177"/>
    <x v="1"/>
    <x v="1"/>
    <x v="0"/>
    <x v="0"/>
    <x v="15"/>
    <x v="4"/>
    <x v="1"/>
    <x v="2"/>
    <x v="1"/>
    <x v="4"/>
    <x v="2"/>
    <x v="0"/>
    <x v="28"/>
    <x v="0"/>
  </r>
  <r>
    <x v="178"/>
    <x v="0"/>
    <x v="0"/>
    <x v="2"/>
    <x v="1"/>
    <x v="5"/>
    <x v="5"/>
    <x v="1"/>
    <x v="2"/>
    <x v="1"/>
    <x v="2"/>
    <x v="4"/>
    <x v="0"/>
    <x v="10"/>
    <x v="1"/>
  </r>
  <r>
    <x v="179"/>
    <x v="0"/>
    <x v="0"/>
    <x v="0"/>
    <x v="0"/>
    <x v="4"/>
    <x v="3"/>
    <x v="4"/>
    <x v="3"/>
    <x v="0"/>
    <x v="0"/>
    <x v="0"/>
    <x v="0"/>
    <x v="34"/>
    <x v="1"/>
  </r>
  <r>
    <x v="180"/>
    <x v="1"/>
    <x v="1"/>
    <x v="2"/>
    <x v="1"/>
    <x v="4"/>
    <x v="0"/>
    <x v="4"/>
    <x v="3"/>
    <x v="0"/>
    <x v="0"/>
    <x v="0"/>
    <x v="0"/>
    <x v="20"/>
    <x v="0"/>
  </r>
  <r>
    <x v="181"/>
    <x v="0"/>
    <x v="0"/>
    <x v="0"/>
    <x v="0"/>
    <x v="1"/>
    <x v="1"/>
    <x v="1"/>
    <x v="1"/>
    <x v="1"/>
    <x v="2"/>
    <x v="3"/>
    <x v="1"/>
    <x v="10"/>
    <x v="1"/>
  </r>
  <r>
    <x v="182"/>
    <x v="0"/>
    <x v="0"/>
    <x v="0"/>
    <x v="0"/>
    <x v="4"/>
    <x v="4"/>
    <x v="2"/>
    <x v="3"/>
    <x v="1"/>
    <x v="1"/>
    <x v="0"/>
    <x v="0"/>
    <x v="13"/>
    <x v="0"/>
  </r>
  <r>
    <x v="183"/>
    <x v="1"/>
    <x v="1"/>
    <x v="2"/>
    <x v="1"/>
    <x v="0"/>
    <x v="4"/>
    <x v="0"/>
    <x v="4"/>
    <x v="0"/>
    <x v="2"/>
    <x v="2"/>
    <x v="1"/>
    <x v="29"/>
    <x v="1"/>
  </r>
  <r>
    <x v="184"/>
    <x v="0"/>
    <x v="0"/>
    <x v="0"/>
    <x v="0"/>
    <x v="12"/>
    <x v="5"/>
    <x v="2"/>
    <x v="4"/>
    <x v="1"/>
    <x v="3"/>
    <x v="4"/>
    <x v="0"/>
    <x v="7"/>
    <x v="0"/>
  </r>
  <r>
    <x v="185"/>
    <x v="0"/>
    <x v="0"/>
    <x v="0"/>
    <x v="0"/>
    <x v="8"/>
    <x v="0"/>
    <x v="0"/>
    <x v="2"/>
    <x v="0"/>
    <x v="1"/>
    <x v="1"/>
    <x v="1"/>
    <x v="15"/>
    <x v="1"/>
  </r>
  <r>
    <x v="186"/>
    <x v="0"/>
    <x v="0"/>
    <x v="0"/>
    <x v="0"/>
    <x v="1"/>
    <x v="1"/>
    <x v="2"/>
    <x v="0"/>
    <x v="1"/>
    <x v="2"/>
    <x v="3"/>
    <x v="1"/>
    <x v="16"/>
    <x v="1"/>
  </r>
  <r>
    <x v="187"/>
    <x v="1"/>
    <x v="1"/>
    <x v="2"/>
    <x v="1"/>
    <x v="2"/>
    <x v="2"/>
    <x v="1"/>
    <x v="2"/>
    <x v="1"/>
    <x v="2"/>
    <x v="4"/>
    <x v="0"/>
    <x v="14"/>
    <x v="0"/>
  </r>
  <r>
    <x v="188"/>
    <x v="0"/>
    <x v="0"/>
    <x v="0"/>
    <x v="0"/>
    <x v="3"/>
    <x v="3"/>
    <x v="0"/>
    <x v="2"/>
    <x v="0"/>
    <x v="3"/>
    <x v="4"/>
    <x v="1"/>
    <x v="21"/>
    <x v="1"/>
  </r>
  <r>
    <x v="189"/>
    <x v="0"/>
    <x v="0"/>
    <x v="2"/>
    <x v="1"/>
    <x v="1"/>
    <x v="0"/>
    <x v="1"/>
    <x v="1"/>
    <x v="0"/>
    <x v="1"/>
    <x v="0"/>
    <x v="0"/>
    <x v="20"/>
    <x v="1"/>
  </r>
  <r>
    <x v="190"/>
    <x v="0"/>
    <x v="0"/>
    <x v="2"/>
    <x v="1"/>
    <x v="1"/>
    <x v="1"/>
    <x v="2"/>
    <x v="0"/>
    <x v="0"/>
    <x v="2"/>
    <x v="2"/>
    <x v="1"/>
    <x v="10"/>
    <x v="0"/>
  </r>
  <r>
    <x v="191"/>
    <x v="1"/>
    <x v="1"/>
    <x v="2"/>
    <x v="1"/>
    <x v="8"/>
    <x v="4"/>
    <x v="2"/>
    <x v="3"/>
    <x v="0"/>
    <x v="0"/>
    <x v="0"/>
    <x v="0"/>
    <x v="4"/>
    <x v="1"/>
  </r>
  <r>
    <x v="192"/>
    <x v="1"/>
    <x v="1"/>
    <x v="0"/>
    <x v="0"/>
    <x v="2"/>
    <x v="2"/>
    <x v="0"/>
    <x v="4"/>
    <x v="0"/>
    <x v="2"/>
    <x v="4"/>
    <x v="0"/>
    <x v="24"/>
    <x v="0"/>
  </r>
  <r>
    <x v="193"/>
    <x v="0"/>
    <x v="0"/>
    <x v="0"/>
    <x v="0"/>
    <x v="3"/>
    <x v="2"/>
    <x v="0"/>
    <x v="2"/>
    <x v="0"/>
    <x v="3"/>
    <x v="4"/>
    <x v="1"/>
    <x v="3"/>
    <x v="0"/>
  </r>
  <r>
    <x v="194"/>
    <x v="1"/>
    <x v="1"/>
    <x v="0"/>
    <x v="0"/>
    <x v="4"/>
    <x v="3"/>
    <x v="3"/>
    <x v="3"/>
    <x v="1"/>
    <x v="2"/>
    <x v="0"/>
    <x v="0"/>
    <x v="21"/>
    <x v="0"/>
  </r>
  <r>
    <x v="195"/>
    <x v="1"/>
    <x v="1"/>
    <x v="2"/>
    <x v="1"/>
    <x v="6"/>
    <x v="3"/>
    <x v="0"/>
    <x v="1"/>
    <x v="0"/>
    <x v="0"/>
    <x v="0"/>
    <x v="1"/>
    <x v="37"/>
    <x v="1"/>
  </r>
  <r>
    <x v="196"/>
    <x v="1"/>
    <x v="1"/>
    <x v="0"/>
    <x v="0"/>
    <x v="14"/>
    <x v="3"/>
    <x v="4"/>
    <x v="0"/>
    <x v="0"/>
    <x v="0"/>
    <x v="3"/>
    <x v="0"/>
    <x v="4"/>
    <x v="0"/>
  </r>
  <r>
    <x v="197"/>
    <x v="0"/>
    <x v="0"/>
    <x v="2"/>
    <x v="1"/>
    <x v="10"/>
    <x v="4"/>
    <x v="4"/>
    <x v="4"/>
    <x v="0"/>
    <x v="1"/>
    <x v="0"/>
    <x v="1"/>
    <x v="41"/>
    <x v="1"/>
  </r>
  <r>
    <x v="198"/>
    <x v="1"/>
    <x v="1"/>
    <x v="0"/>
    <x v="0"/>
    <x v="11"/>
    <x v="3"/>
    <x v="4"/>
    <x v="4"/>
    <x v="1"/>
    <x v="1"/>
    <x v="3"/>
    <x v="1"/>
    <x v="32"/>
    <x v="1"/>
  </r>
  <r>
    <x v="199"/>
    <x v="1"/>
    <x v="1"/>
    <x v="2"/>
    <x v="1"/>
    <x v="2"/>
    <x v="3"/>
    <x v="0"/>
    <x v="2"/>
    <x v="1"/>
    <x v="4"/>
    <x v="4"/>
    <x v="1"/>
    <x v="6"/>
    <x v="1"/>
  </r>
  <r>
    <x v="200"/>
    <x v="1"/>
    <x v="1"/>
    <x v="2"/>
    <x v="1"/>
    <x v="10"/>
    <x v="3"/>
    <x v="0"/>
    <x v="2"/>
    <x v="1"/>
    <x v="4"/>
    <x v="1"/>
    <x v="1"/>
    <x v="23"/>
    <x v="0"/>
  </r>
  <r>
    <x v="201"/>
    <x v="0"/>
    <x v="0"/>
    <x v="2"/>
    <x v="1"/>
    <x v="4"/>
    <x v="0"/>
    <x v="2"/>
    <x v="3"/>
    <x v="0"/>
    <x v="0"/>
    <x v="1"/>
    <x v="1"/>
    <x v="40"/>
    <x v="1"/>
  </r>
  <r>
    <x v="202"/>
    <x v="1"/>
    <x v="1"/>
    <x v="2"/>
    <x v="1"/>
    <x v="0"/>
    <x v="4"/>
    <x v="1"/>
    <x v="1"/>
    <x v="0"/>
    <x v="0"/>
    <x v="3"/>
    <x v="0"/>
    <x v="6"/>
    <x v="1"/>
  </r>
  <r>
    <x v="203"/>
    <x v="1"/>
    <x v="1"/>
    <x v="0"/>
    <x v="0"/>
    <x v="10"/>
    <x v="0"/>
    <x v="1"/>
    <x v="0"/>
    <x v="0"/>
    <x v="1"/>
    <x v="2"/>
    <x v="1"/>
    <x v="30"/>
    <x v="1"/>
  </r>
  <r>
    <x v="204"/>
    <x v="1"/>
    <x v="1"/>
    <x v="0"/>
    <x v="0"/>
    <x v="8"/>
    <x v="1"/>
    <x v="2"/>
    <x v="2"/>
    <x v="1"/>
    <x v="1"/>
    <x v="1"/>
    <x v="0"/>
    <x v="36"/>
    <x v="0"/>
  </r>
  <r>
    <x v="205"/>
    <x v="0"/>
    <x v="0"/>
    <x v="2"/>
    <x v="1"/>
    <x v="1"/>
    <x v="1"/>
    <x v="4"/>
    <x v="1"/>
    <x v="0"/>
    <x v="0"/>
    <x v="0"/>
    <x v="0"/>
    <x v="30"/>
    <x v="1"/>
  </r>
  <r>
    <x v="206"/>
    <x v="1"/>
    <x v="1"/>
    <x v="2"/>
    <x v="1"/>
    <x v="8"/>
    <x v="2"/>
    <x v="1"/>
    <x v="2"/>
    <x v="1"/>
    <x v="2"/>
    <x v="4"/>
    <x v="0"/>
    <x v="24"/>
    <x v="0"/>
  </r>
  <r>
    <x v="207"/>
    <x v="1"/>
    <x v="1"/>
    <x v="0"/>
    <x v="0"/>
    <x v="6"/>
    <x v="3"/>
    <x v="3"/>
    <x v="3"/>
    <x v="0"/>
    <x v="2"/>
    <x v="3"/>
    <x v="0"/>
    <x v="22"/>
    <x v="1"/>
  </r>
  <r>
    <x v="208"/>
    <x v="1"/>
    <x v="1"/>
    <x v="0"/>
    <x v="0"/>
    <x v="0"/>
    <x v="3"/>
    <x v="4"/>
    <x v="1"/>
    <x v="0"/>
    <x v="0"/>
    <x v="0"/>
    <x v="0"/>
    <x v="34"/>
    <x v="1"/>
  </r>
  <r>
    <x v="209"/>
    <x v="1"/>
    <x v="1"/>
    <x v="0"/>
    <x v="0"/>
    <x v="1"/>
    <x v="1"/>
    <x v="1"/>
    <x v="1"/>
    <x v="0"/>
    <x v="0"/>
    <x v="0"/>
    <x v="0"/>
    <x v="0"/>
    <x v="1"/>
  </r>
  <r>
    <x v="210"/>
    <x v="0"/>
    <x v="0"/>
    <x v="0"/>
    <x v="0"/>
    <x v="2"/>
    <x v="5"/>
    <x v="4"/>
    <x v="4"/>
    <x v="0"/>
    <x v="1"/>
    <x v="0"/>
    <x v="1"/>
    <x v="4"/>
    <x v="0"/>
  </r>
  <r>
    <x v="211"/>
    <x v="0"/>
    <x v="0"/>
    <x v="0"/>
    <x v="0"/>
    <x v="14"/>
    <x v="3"/>
    <x v="4"/>
    <x v="0"/>
    <x v="0"/>
    <x v="0"/>
    <x v="0"/>
    <x v="0"/>
    <x v="4"/>
    <x v="1"/>
  </r>
  <r>
    <x v="212"/>
    <x v="1"/>
    <x v="1"/>
    <x v="0"/>
    <x v="0"/>
    <x v="1"/>
    <x v="3"/>
    <x v="1"/>
    <x v="1"/>
    <x v="1"/>
    <x v="1"/>
    <x v="1"/>
    <x v="0"/>
    <x v="25"/>
    <x v="0"/>
  </r>
  <r>
    <x v="213"/>
    <x v="1"/>
    <x v="1"/>
    <x v="2"/>
    <x v="1"/>
    <x v="3"/>
    <x v="3"/>
    <x v="0"/>
    <x v="2"/>
    <x v="1"/>
    <x v="3"/>
    <x v="4"/>
    <x v="1"/>
    <x v="23"/>
    <x v="1"/>
  </r>
  <r>
    <x v="214"/>
    <x v="0"/>
    <x v="0"/>
    <x v="2"/>
    <x v="1"/>
    <x v="1"/>
    <x v="0"/>
    <x v="0"/>
    <x v="1"/>
    <x v="0"/>
    <x v="0"/>
    <x v="0"/>
    <x v="0"/>
    <x v="27"/>
    <x v="1"/>
  </r>
  <r>
    <x v="215"/>
    <x v="1"/>
    <x v="1"/>
    <x v="2"/>
    <x v="1"/>
    <x v="2"/>
    <x v="5"/>
    <x v="1"/>
    <x v="2"/>
    <x v="1"/>
    <x v="2"/>
    <x v="1"/>
    <x v="0"/>
    <x v="9"/>
    <x v="1"/>
  </r>
  <r>
    <x v="216"/>
    <x v="0"/>
    <x v="0"/>
    <x v="2"/>
    <x v="1"/>
    <x v="6"/>
    <x v="4"/>
    <x v="3"/>
    <x v="1"/>
    <x v="0"/>
    <x v="4"/>
    <x v="2"/>
    <x v="1"/>
    <x v="9"/>
    <x v="0"/>
  </r>
  <r>
    <x v="217"/>
    <x v="1"/>
    <x v="1"/>
    <x v="0"/>
    <x v="0"/>
    <x v="6"/>
    <x v="3"/>
    <x v="3"/>
    <x v="3"/>
    <x v="1"/>
    <x v="2"/>
    <x v="0"/>
    <x v="0"/>
    <x v="37"/>
    <x v="0"/>
  </r>
  <r>
    <x v="218"/>
    <x v="1"/>
    <x v="1"/>
    <x v="2"/>
    <x v="1"/>
    <x v="4"/>
    <x v="0"/>
    <x v="0"/>
    <x v="3"/>
    <x v="0"/>
    <x v="0"/>
    <x v="0"/>
    <x v="0"/>
    <x v="28"/>
    <x v="0"/>
  </r>
  <r>
    <x v="219"/>
    <x v="1"/>
    <x v="1"/>
    <x v="2"/>
    <x v="1"/>
    <x v="4"/>
    <x v="3"/>
    <x v="1"/>
    <x v="3"/>
    <x v="0"/>
    <x v="1"/>
    <x v="3"/>
    <x v="1"/>
    <x v="22"/>
    <x v="1"/>
  </r>
  <r>
    <x v="220"/>
    <x v="0"/>
    <x v="0"/>
    <x v="2"/>
    <x v="1"/>
    <x v="10"/>
    <x v="0"/>
    <x v="0"/>
    <x v="2"/>
    <x v="0"/>
    <x v="1"/>
    <x v="2"/>
    <x v="1"/>
    <x v="1"/>
    <x v="1"/>
  </r>
  <r>
    <x v="221"/>
    <x v="1"/>
    <x v="1"/>
    <x v="2"/>
    <x v="1"/>
    <x v="4"/>
    <x v="3"/>
    <x v="3"/>
    <x v="3"/>
    <x v="1"/>
    <x v="2"/>
    <x v="3"/>
    <x v="0"/>
    <x v="11"/>
    <x v="0"/>
  </r>
  <r>
    <x v="222"/>
    <x v="0"/>
    <x v="0"/>
    <x v="0"/>
    <x v="0"/>
    <x v="1"/>
    <x v="1"/>
    <x v="1"/>
    <x v="1"/>
    <x v="1"/>
    <x v="0"/>
    <x v="0"/>
    <x v="0"/>
    <x v="0"/>
    <x v="0"/>
  </r>
  <r>
    <x v="223"/>
    <x v="1"/>
    <x v="1"/>
    <x v="0"/>
    <x v="0"/>
    <x v="3"/>
    <x v="2"/>
    <x v="0"/>
    <x v="2"/>
    <x v="0"/>
    <x v="3"/>
    <x v="4"/>
    <x v="1"/>
    <x v="32"/>
    <x v="0"/>
  </r>
  <r>
    <x v="224"/>
    <x v="0"/>
    <x v="0"/>
    <x v="0"/>
    <x v="0"/>
    <x v="1"/>
    <x v="4"/>
    <x v="1"/>
    <x v="1"/>
    <x v="1"/>
    <x v="2"/>
    <x v="0"/>
    <x v="1"/>
    <x v="41"/>
    <x v="0"/>
  </r>
  <r>
    <x v="225"/>
    <x v="0"/>
    <x v="0"/>
    <x v="2"/>
    <x v="1"/>
    <x v="6"/>
    <x v="0"/>
    <x v="1"/>
    <x v="3"/>
    <x v="0"/>
    <x v="0"/>
    <x v="3"/>
    <x v="0"/>
    <x v="11"/>
    <x v="0"/>
  </r>
  <r>
    <x v="226"/>
    <x v="1"/>
    <x v="1"/>
    <x v="0"/>
    <x v="0"/>
    <x v="6"/>
    <x v="1"/>
    <x v="2"/>
    <x v="3"/>
    <x v="0"/>
    <x v="1"/>
    <x v="0"/>
    <x v="0"/>
    <x v="0"/>
    <x v="1"/>
  </r>
  <r>
    <x v="227"/>
    <x v="0"/>
    <x v="0"/>
    <x v="2"/>
    <x v="1"/>
    <x v="4"/>
    <x v="1"/>
    <x v="3"/>
    <x v="3"/>
    <x v="0"/>
    <x v="2"/>
    <x v="0"/>
    <x v="0"/>
    <x v="1"/>
    <x v="0"/>
  </r>
  <r>
    <x v="228"/>
    <x v="0"/>
    <x v="0"/>
    <x v="0"/>
    <x v="0"/>
    <x v="6"/>
    <x v="0"/>
    <x v="4"/>
    <x v="1"/>
    <x v="0"/>
    <x v="0"/>
    <x v="0"/>
    <x v="0"/>
    <x v="12"/>
    <x v="0"/>
  </r>
  <r>
    <x v="229"/>
    <x v="1"/>
    <x v="1"/>
    <x v="2"/>
    <x v="1"/>
    <x v="2"/>
    <x v="2"/>
    <x v="2"/>
    <x v="4"/>
    <x v="0"/>
    <x v="4"/>
    <x v="4"/>
    <x v="0"/>
    <x v="42"/>
    <x v="0"/>
  </r>
  <r>
    <x v="230"/>
    <x v="0"/>
    <x v="0"/>
    <x v="2"/>
    <x v="1"/>
    <x v="7"/>
    <x v="5"/>
    <x v="1"/>
    <x v="4"/>
    <x v="0"/>
    <x v="4"/>
    <x v="4"/>
    <x v="0"/>
    <x v="16"/>
    <x v="0"/>
  </r>
  <r>
    <x v="231"/>
    <x v="0"/>
    <x v="0"/>
    <x v="0"/>
    <x v="0"/>
    <x v="0"/>
    <x v="3"/>
    <x v="0"/>
    <x v="1"/>
    <x v="0"/>
    <x v="0"/>
    <x v="0"/>
    <x v="0"/>
    <x v="13"/>
    <x v="1"/>
  </r>
  <r>
    <x v="232"/>
    <x v="0"/>
    <x v="0"/>
    <x v="0"/>
    <x v="0"/>
    <x v="1"/>
    <x v="5"/>
    <x v="4"/>
    <x v="1"/>
    <x v="0"/>
    <x v="0"/>
    <x v="0"/>
    <x v="0"/>
    <x v="12"/>
    <x v="0"/>
  </r>
  <r>
    <x v="233"/>
    <x v="0"/>
    <x v="0"/>
    <x v="2"/>
    <x v="1"/>
    <x v="6"/>
    <x v="3"/>
    <x v="0"/>
    <x v="1"/>
    <x v="0"/>
    <x v="0"/>
    <x v="0"/>
    <x v="1"/>
    <x v="40"/>
    <x v="1"/>
  </r>
  <r>
    <x v="234"/>
    <x v="1"/>
    <x v="1"/>
    <x v="2"/>
    <x v="1"/>
    <x v="8"/>
    <x v="3"/>
    <x v="0"/>
    <x v="2"/>
    <x v="1"/>
    <x v="3"/>
    <x v="4"/>
    <x v="1"/>
    <x v="11"/>
    <x v="1"/>
  </r>
  <r>
    <x v="235"/>
    <x v="0"/>
    <x v="0"/>
    <x v="0"/>
    <x v="0"/>
    <x v="4"/>
    <x v="0"/>
    <x v="4"/>
    <x v="1"/>
    <x v="0"/>
    <x v="0"/>
    <x v="0"/>
    <x v="0"/>
    <x v="43"/>
    <x v="1"/>
  </r>
  <r>
    <x v="236"/>
    <x v="1"/>
    <x v="1"/>
    <x v="0"/>
    <x v="0"/>
    <x v="1"/>
    <x v="2"/>
    <x v="4"/>
    <x v="1"/>
    <x v="0"/>
    <x v="0"/>
    <x v="0"/>
    <x v="0"/>
    <x v="20"/>
    <x v="1"/>
  </r>
  <r>
    <x v="237"/>
    <x v="0"/>
    <x v="0"/>
    <x v="0"/>
    <x v="0"/>
    <x v="4"/>
    <x v="3"/>
    <x v="1"/>
    <x v="3"/>
    <x v="1"/>
    <x v="1"/>
    <x v="0"/>
    <x v="1"/>
    <x v="22"/>
    <x v="1"/>
  </r>
  <r>
    <x v="238"/>
    <x v="0"/>
    <x v="0"/>
    <x v="2"/>
    <x v="1"/>
    <x v="3"/>
    <x v="2"/>
    <x v="1"/>
    <x v="0"/>
    <x v="0"/>
    <x v="4"/>
    <x v="2"/>
    <x v="1"/>
    <x v="30"/>
    <x v="0"/>
  </r>
  <r>
    <x v="239"/>
    <x v="1"/>
    <x v="1"/>
    <x v="0"/>
    <x v="0"/>
    <x v="1"/>
    <x v="3"/>
    <x v="2"/>
    <x v="3"/>
    <x v="1"/>
    <x v="1"/>
    <x v="1"/>
    <x v="0"/>
    <x v="17"/>
    <x v="1"/>
  </r>
  <r>
    <x v="240"/>
    <x v="0"/>
    <x v="0"/>
    <x v="2"/>
    <x v="1"/>
    <x v="4"/>
    <x v="0"/>
    <x v="4"/>
    <x v="3"/>
    <x v="0"/>
    <x v="0"/>
    <x v="0"/>
    <x v="0"/>
    <x v="34"/>
    <x v="0"/>
  </r>
  <r>
    <x v="241"/>
    <x v="1"/>
    <x v="1"/>
    <x v="0"/>
    <x v="0"/>
    <x v="1"/>
    <x v="1"/>
    <x v="1"/>
    <x v="1"/>
    <x v="0"/>
    <x v="2"/>
    <x v="0"/>
    <x v="0"/>
    <x v="40"/>
    <x v="0"/>
  </r>
  <r>
    <x v="242"/>
    <x v="1"/>
    <x v="1"/>
    <x v="2"/>
    <x v="1"/>
    <x v="1"/>
    <x v="0"/>
    <x v="0"/>
    <x v="1"/>
    <x v="1"/>
    <x v="1"/>
    <x v="0"/>
    <x v="0"/>
    <x v="32"/>
    <x v="1"/>
  </r>
  <r>
    <x v="243"/>
    <x v="1"/>
    <x v="1"/>
    <x v="0"/>
    <x v="0"/>
    <x v="6"/>
    <x v="3"/>
    <x v="2"/>
    <x v="3"/>
    <x v="1"/>
    <x v="1"/>
    <x v="1"/>
    <x v="0"/>
    <x v="19"/>
    <x v="0"/>
  </r>
  <r>
    <x v="244"/>
    <x v="0"/>
    <x v="0"/>
    <x v="0"/>
    <x v="0"/>
    <x v="7"/>
    <x v="1"/>
    <x v="0"/>
    <x v="4"/>
    <x v="1"/>
    <x v="2"/>
    <x v="4"/>
    <x v="0"/>
    <x v="31"/>
    <x v="1"/>
  </r>
  <r>
    <x v="245"/>
    <x v="0"/>
    <x v="0"/>
    <x v="2"/>
    <x v="1"/>
    <x v="15"/>
    <x v="2"/>
    <x v="0"/>
    <x v="4"/>
    <x v="0"/>
    <x v="3"/>
    <x v="1"/>
    <x v="1"/>
    <x v="28"/>
    <x v="1"/>
  </r>
  <r>
    <x v="246"/>
    <x v="0"/>
    <x v="0"/>
    <x v="0"/>
    <x v="0"/>
    <x v="12"/>
    <x v="1"/>
    <x v="1"/>
    <x v="2"/>
    <x v="0"/>
    <x v="4"/>
    <x v="0"/>
    <x v="0"/>
    <x v="36"/>
    <x v="1"/>
  </r>
  <r>
    <x v="247"/>
    <x v="0"/>
    <x v="0"/>
    <x v="0"/>
    <x v="0"/>
    <x v="11"/>
    <x v="3"/>
    <x v="2"/>
    <x v="4"/>
    <x v="0"/>
    <x v="3"/>
    <x v="4"/>
    <x v="1"/>
    <x v="17"/>
    <x v="1"/>
  </r>
  <r>
    <x v="248"/>
    <x v="0"/>
    <x v="0"/>
    <x v="0"/>
    <x v="0"/>
    <x v="4"/>
    <x v="2"/>
    <x v="2"/>
    <x v="0"/>
    <x v="1"/>
    <x v="4"/>
    <x v="3"/>
    <x v="1"/>
    <x v="24"/>
    <x v="0"/>
  </r>
  <r>
    <x v="249"/>
    <x v="1"/>
    <x v="1"/>
    <x v="2"/>
    <x v="1"/>
    <x v="3"/>
    <x v="3"/>
    <x v="0"/>
    <x v="2"/>
    <x v="0"/>
    <x v="1"/>
    <x v="2"/>
    <x v="1"/>
    <x v="34"/>
    <x v="1"/>
  </r>
  <r>
    <x v="250"/>
    <x v="0"/>
    <x v="0"/>
    <x v="2"/>
    <x v="1"/>
    <x v="11"/>
    <x v="2"/>
    <x v="4"/>
    <x v="4"/>
    <x v="1"/>
    <x v="1"/>
    <x v="3"/>
    <x v="1"/>
    <x v="44"/>
    <x v="1"/>
  </r>
  <r>
    <x v="251"/>
    <x v="0"/>
    <x v="0"/>
    <x v="2"/>
    <x v="1"/>
    <x v="12"/>
    <x v="5"/>
    <x v="2"/>
    <x v="2"/>
    <x v="0"/>
    <x v="4"/>
    <x v="0"/>
    <x v="0"/>
    <x v="10"/>
    <x v="0"/>
  </r>
  <r>
    <x v="252"/>
    <x v="1"/>
    <x v="1"/>
    <x v="2"/>
    <x v="1"/>
    <x v="10"/>
    <x v="3"/>
    <x v="0"/>
    <x v="2"/>
    <x v="1"/>
    <x v="3"/>
    <x v="1"/>
    <x v="1"/>
    <x v="23"/>
    <x v="0"/>
  </r>
  <r>
    <x v="253"/>
    <x v="0"/>
    <x v="0"/>
    <x v="2"/>
    <x v="1"/>
    <x v="11"/>
    <x v="1"/>
    <x v="3"/>
    <x v="2"/>
    <x v="0"/>
    <x v="0"/>
    <x v="4"/>
    <x v="0"/>
    <x v="14"/>
    <x v="1"/>
  </r>
  <r>
    <x v="254"/>
    <x v="1"/>
    <x v="1"/>
    <x v="2"/>
    <x v="1"/>
    <x v="6"/>
    <x v="4"/>
    <x v="3"/>
    <x v="1"/>
    <x v="0"/>
    <x v="2"/>
    <x v="2"/>
    <x v="1"/>
    <x v="42"/>
    <x v="0"/>
  </r>
  <r>
    <x v="255"/>
    <x v="1"/>
    <x v="1"/>
    <x v="0"/>
    <x v="0"/>
    <x v="1"/>
    <x v="1"/>
    <x v="4"/>
    <x v="1"/>
    <x v="0"/>
    <x v="0"/>
    <x v="0"/>
    <x v="0"/>
    <x v="15"/>
    <x v="1"/>
  </r>
  <r>
    <x v="256"/>
    <x v="0"/>
    <x v="0"/>
    <x v="2"/>
    <x v="1"/>
    <x v="6"/>
    <x v="0"/>
    <x v="4"/>
    <x v="1"/>
    <x v="0"/>
    <x v="0"/>
    <x v="0"/>
    <x v="0"/>
    <x v="1"/>
    <x v="0"/>
  </r>
  <r>
    <x v="257"/>
    <x v="1"/>
    <x v="1"/>
    <x v="0"/>
    <x v="0"/>
    <x v="14"/>
    <x v="3"/>
    <x v="4"/>
    <x v="0"/>
    <x v="0"/>
    <x v="0"/>
    <x v="0"/>
    <x v="0"/>
    <x v="4"/>
    <x v="1"/>
  </r>
  <r>
    <x v="258"/>
    <x v="1"/>
    <x v="1"/>
    <x v="0"/>
    <x v="0"/>
    <x v="11"/>
    <x v="1"/>
    <x v="1"/>
    <x v="4"/>
    <x v="0"/>
    <x v="3"/>
    <x v="4"/>
    <x v="0"/>
    <x v="16"/>
    <x v="0"/>
  </r>
  <r>
    <x v="259"/>
    <x v="0"/>
    <x v="0"/>
    <x v="2"/>
    <x v="1"/>
    <x v="13"/>
    <x v="3"/>
    <x v="0"/>
    <x v="4"/>
    <x v="0"/>
    <x v="3"/>
    <x v="0"/>
    <x v="1"/>
    <x v="34"/>
    <x v="1"/>
  </r>
  <r>
    <x v="260"/>
    <x v="1"/>
    <x v="1"/>
    <x v="0"/>
    <x v="0"/>
    <x v="1"/>
    <x v="4"/>
    <x v="1"/>
    <x v="1"/>
    <x v="0"/>
    <x v="0"/>
    <x v="0"/>
    <x v="0"/>
    <x v="1"/>
    <x v="0"/>
  </r>
  <r>
    <x v="261"/>
    <x v="0"/>
    <x v="0"/>
    <x v="0"/>
    <x v="0"/>
    <x v="0"/>
    <x v="0"/>
    <x v="0"/>
    <x v="0"/>
    <x v="0"/>
    <x v="1"/>
    <x v="3"/>
    <x v="0"/>
    <x v="6"/>
    <x v="1"/>
  </r>
  <r>
    <x v="262"/>
    <x v="0"/>
    <x v="0"/>
    <x v="0"/>
    <x v="0"/>
    <x v="4"/>
    <x v="4"/>
    <x v="1"/>
    <x v="3"/>
    <x v="0"/>
    <x v="0"/>
    <x v="3"/>
    <x v="0"/>
    <x v="36"/>
    <x v="0"/>
  </r>
  <r>
    <x v="263"/>
    <x v="1"/>
    <x v="1"/>
    <x v="0"/>
    <x v="0"/>
    <x v="3"/>
    <x v="2"/>
    <x v="0"/>
    <x v="2"/>
    <x v="0"/>
    <x v="4"/>
    <x v="4"/>
    <x v="1"/>
    <x v="32"/>
    <x v="0"/>
  </r>
  <r>
    <x v="264"/>
    <x v="0"/>
    <x v="0"/>
    <x v="2"/>
    <x v="1"/>
    <x v="0"/>
    <x v="3"/>
    <x v="4"/>
    <x v="1"/>
    <x v="0"/>
    <x v="0"/>
    <x v="0"/>
    <x v="0"/>
    <x v="34"/>
    <x v="1"/>
  </r>
  <r>
    <x v="265"/>
    <x v="1"/>
    <x v="1"/>
    <x v="0"/>
    <x v="0"/>
    <x v="1"/>
    <x v="4"/>
    <x v="1"/>
    <x v="1"/>
    <x v="0"/>
    <x v="2"/>
    <x v="0"/>
    <x v="0"/>
    <x v="0"/>
    <x v="0"/>
  </r>
  <r>
    <x v="266"/>
    <x v="1"/>
    <x v="1"/>
    <x v="0"/>
    <x v="0"/>
    <x v="6"/>
    <x v="2"/>
    <x v="2"/>
    <x v="3"/>
    <x v="0"/>
    <x v="2"/>
    <x v="0"/>
    <x v="0"/>
    <x v="40"/>
    <x v="0"/>
  </r>
  <r>
    <x v="267"/>
    <x v="1"/>
    <x v="1"/>
    <x v="2"/>
    <x v="1"/>
    <x v="11"/>
    <x v="2"/>
    <x v="0"/>
    <x v="2"/>
    <x v="0"/>
    <x v="1"/>
    <x v="2"/>
    <x v="1"/>
    <x v="15"/>
    <x v="1"/>
  </r>
  <r>
    <x v="268"/>
    <x v="0"/>
    <x v="0"/>
    <x v="2"/>
    <x v="1"/>
    <x v="3"/>
    <x v="2"/>
    <x v="1"/>
    <x v="0"/>
    <x v="0"/>
    <x v="4"/>
    <x v="2"/>
    <x v="1"/>
    <x v="12"/>
    <x v="0"/>
  </r>
  <r>
    <x v="269"/>
    <x v="1"/>
    <x v="1"/>
    <x v="0"/>
    <x v="0"/>
    <x v="14"/>
    <x v="3"/>
    <x v="4"/>
    <x v="0"/>
    <x v="1"/>
    <x v="0"/>
    <x v="0"/>
    <x v="0"/>
    <x v="34"/>
    <x v="1"/>
  </r>
  <r>
    <x v="270"/>
    <x v="1"/>
    <x v="1"/>
    <x v="0"/>
    <x v="0"/>
    <x v="4"/>
    <x v="4"/>
    <x v="1"/>
    <x v="3"/>
    <x v="0"/>
    <x v="0"/>
    <x v="0"/>
    <x v="0"/>
    <x v="36"/>
    <x v="1"/>
  </r>
  <r>
    <x v="271"/>
    <x v="1"/>
    <x v="1"/>
    <x v="0"/>
    <x v="0"/>
    <x v="6"/>
    <x v="3"/>
    <x v="2"/>
    <x v="3"/>
    <x v="1"/>
    <x v="1"/>
    <x v="3"/>
    <x v="0"/>
    <x v="26"/>
    <x v="0"/>
  </r>
  <r>
    <x v="272"/>
    <x v="0"/>
    <x v="0"/>
    <x v="2"/>
    <x v="1"/>
    <x v="4"/>
    <x v="5"/>
    <x v="3"/>
    <x v="3"/>
    <x v="0"/>
    <x v="1"/>
    <x v="0"/>
    <x v="0"/>
    <x v="8"/>
    <x v="1"/>
  </r>
  <r>
    <x v="273"/>
    <x v="1"/>
    <x v="1"/>
    <x v="0"/>
    <x v="0"/>
    <x v="6"/>
    <x v="3"/>
    <x v="2"/>
    <x v="3"/>
    <x v="1"/>
    <x v="1"/>
    <x v="1"/>
    <x v="0"/>
    <x v="25"/>
    <x v="0"/>
  </r>
  <r>
    <x v="274"/>
    <x v="0"/>
    <x v="0"/>
    <x v="0"/>
    <x v="0"/>
    <x v="1"/>
    <x v="3"/>
    <x v="0"/>
    <x v="1"/>
    <x v="1"/>
    <x v="0"/>
    <x v="0"/>
    <x v="0"/>
    <x v="4"/>
    <x v="1"/>
  </r>
  <r>
    <x v="275"/>
    <x v="0"/>
    <x v="0"/>
    <x v="0"/>
    <x v="0"/>
    <x v="8"/>
    <x v="0"/>
    <x v="4"/>
    <x v="4"/>
    <x v="0"/>
    <x v="0"/>
    <x v="0"/>
    <x v="1"/>
    <x v="34"/>
    <x v="1"/>
  </r>
  <r>
    <x v="276"/>
    <x v="0"/>
    <x v="0"/>
    <x v="0"/>
    <x v="0"/>
    <x v="4"/>
    <x v="4"/>
    <x v="1"/>
    <x v="3"/>
    <x v="0"/>
    <x v="0"/>
    <x v="3"/>
    <x v="0"/>
    <x v="38"/>
    <x v="0"/>
  </r>
  <r>
    <x v="277"/>
    <x v="0"/>
    <x v="0"/>
    <x v="0"/>
    <x v="0"/>
    <x v="4"/>
    <x v="4"/>
    <x v="2"/>
    <x v="3"/>
    <x v="0"/>
    <x v="0"/>
    <x v="0"/>
    <x v="0"/>
    <x v="34"/>
    <x v="1"/>
  </r>
  <r>
    <x v="278"/>
    <x v="0"/>
    <x v="0"/>
    <x v="2"/>
    <x v="1"/>
    <x v="11"/>
    <x v="3"/>
    <x v="2"/>
    <x v="4"/>
    <x v="0"/>
    <x v="4"/>
    <x v="4"/>
    <x v="1"/>
    <x v="11"/>
    <x v="1"/>
  </r>
  <r>
    <x v="279"/>
    <x v="1"/>
    <x v="1"/>
    <x v="2"/>
    <x v="1"/>
    <x v="1"/>
    <x v="0"/>
    <x v="0"/>
    <x v="1"/>
    <x v="1"/>
    <x v="0"/>
    <x v="0"/>
    <x v="0"/>
    <x v="13"/>
    <x v="1"/>
  </r>
  <r>
    <x v="280"/>
    <x v="1"/>
    <x v="1"/>
    <x v="0"/>
    <x v="0"/>
    <x v="4"/>
    <x v="1"/>
    <x v="3"/>
    <x v="3"/>
    <x v="0"/>
    <x v="2"/>
    <x v="0"/>
    <x v="0"/>
    <x v="1"/>
    <x v="0"/>
  </r>
  <r>
    <x v="281"/>
    <x v="1"/>
    <x v="1"/>
    <x v="2"/>
    <x v="1"/>
    <x v="6"/>
    <x v="0"/>
    <x v="1"/>
    <x v="3"/>
    <x v="1"/>
    <x v="0"/>
    <x v="0"/>
    <x v="0"/>
    <x v="34"/>
    <x v="0"/>
  </r>
  <r>
    <x v="282"/>
    <x v="1"/>
    <x v="1"/>
    <x v="2"/>
    <x v="1"/>
    <x v="4"/>
    <x v="3"/>
    <x v="3"/>
    <x v="3"/>
    <x v="1"/>
    <x v="2"/>
    <x v="0"/>
    <x v="0"/>
    <x v="17"/>
    <x v="0"/>
  </r>
  <r>
    <x v="283"/>
    <x v="0"/>
    <x v="0"/>
    <x v="0"/>
    <x v="0"/>
    <x v="3"/>
    <x v="2"/>
    <x v="1"/>
    <x v="0"/>
    <x v="1"/>
    <x v="4"/>
    <x v="2"/>
    <x v="1"/>
    <x v="30"/>
    <x v="0"/>
  </r>
  <r>
    <x v="284"/>
    <x v="1"/>
    <x v="1"/>
    <x v="2"/>
    <x v="1"/>
    <x v="4"/>
    <x v="0"/>
    <x v="1"/>
    <x v="3"/>
    <x v="0"/>
    <x v="0"/>
    <x v="0"/>
    <x v="0"/>
    <x v="38"/>
    <x v="0"/>
  </r>
  <r>
    <x v="285"/>
    <x v="0"/>
    <x v="0"/>
    <x v="0"/>
    <x v="0"/>
    <x v="10"/>
    <x v="0"/>
    <x v="1"/>
    <x v="0"/>
    <x v="0"/>
    <x v="1"/>
    <x v="2"/>
    <x v="1"/>
    <x v="12"/>
    <x v="0"/>
  </r>
  <r>
    <x v="286"/>
    <x v="1"/>
    <x v="1"/>
    <x v="0"/>
    <x v="0"/>
    <x v="11"/>
    <x v="0"/>
    <x v="0"/>
    <x v="4"/>
    <x v="0"/>
    <x v="3"/>
    <x v="1"/>
    <x v="1"/>
    <x v="28"/>
    <x v="0"/>
  </r>
  <r>
    <x v="287"/>
    <x v="1"/>
    <x v="1"/>
    <x v="0"/>
    <x v="0"/>
    <x v="1"/>
    <x v="1"/>
    <x v="4"/>
    <x v="1"/>
    <x v="1"/>
    <x v="0"/>
    <x v="0"/>
    <x v="0"/>
    <x v="30"/>
    <x v="1"/>
  </r>
  <r>
    <x v="288"/>
    <x v="0"/>
    <x v="0"/>
    <x v="2"/>
    <x v="1"/>
    <x v="12"/>
    <x v="3"/>
    <x v="4"/>
    <x v="4"/>
    <x v="0"/>
    <x v="0"/>
    <x v="2"/>
    <x v="1"/>
    <x v="28"/>
    <x v="0"/>
  </r>
  <r>
    <x v="289"/>
    <x v="0"/>
    <x v="0"/>
    <x v="2"/>
    <x v="1"/>
    <x v="1"/>
    <x v="1"/>
    <x v="2"/>
    <x v="0"/>
    <x v="0"/>
    <x v="2"/>
    <x v="2"/>
    <x v="1"/>
    <x v="9"/>
    <x v="1"/>
  </r>
  <r>
    <x v="290"/>
    <x v="1"/>
    <x v="1"/>
    <x v="0"/>
    <x v="0"/>
    <x v="10"/>
    <x v="0"/>
    <x v="1"/>
    <x v="0"/>
    <x v="1"/>
    <x v="1"/>
    <x v="0"/>
    <x v="1"/>
    <x v="30"/>
    <x v="1"/>
  </r>
  <r>
    <x v="291"/>
    <x v="0"/>
    <x v="0"/>
    <x v="2"/>
    <x v="1"/>
    <x v="0"/>
    <x v="3"/>
    <x v="0"/>
    <x v="1"/>
    <x v="1"/>
    <x v="0"/>
    <x v="0"/>
    <x v="0"/>
    <x v="13"/>
    <x v="1"/>
  </r>
  <r>
    <x v="292"/>
    <x v="0"/>
    <x v="0"/>
    <x v="0"/>
    <x v="0"/>
    <x v="0"/>
    <x v="0"/>
    <x v="0"/>
    <x v="0"/>
    <x v="0"/>
    <x v="0"/>
    <x v="0"/>
    <x v="0"/>
    <x v="0"/>
    <x v="1"/>
  </r>
  <r>
    <x v="293"/>
    <x v="1"/>
    <x v="1"/>
    <x v="0"/>
    <x v="0"/>
    <x v="4"/>
    <x v="0"/>
    <x v="2"/>
    <x v="3"/>
    <x v="1"/>
    <x v="1"/>
    <x v="1"/>
    <x v="0"/>
    <x v="30"/>
    <x v="1"/>
  </r>
  <r>
    <x v="294"/>
    <x v="1"/>
    <x v="1"/>
    <x v="2"/>
    <x v="1"/>
    <x v="6"/>
    <x v="3"/>
    <x v="1"/>
    <x v="3"/>
    <x v="1"/>
    <x v="1"/>
    <x v="1"/>
    <x v="0"/>
    <x v="4"/>
    <x v="1"/>
  </r>
  <r>
    <x v="295"/>
    <x v="1"/>
    <x v="1"/>
    <x v="0"/>
    <x v="0"/>
    <x v="15"/>
    <x v="3"/>
    <x v="1"/>
    <x v="4"/>
    <x v="0"/>
    <x v="4"/>
    <x v="4"/>
    <x v="1"/>
    <x v="21"/>
    <x v="1"/>
  </r>
  <r>
    <x v="296"/>
    <x v="1"/>
    <x v="1"/>
    <x v="0"/>
    <x v="0"/>
    <x v="10"/>
    <x v="4"/>
    <x v="0"/>
    <x v="2"/>
    <x v="1"/>
    <x v="1"/>
    <x v="0"/>
    <x v="1"/>
    <x v="32"/>
    <x v="1"/>
  </r>
  <r>
    <x v="297"/>
    <x v="0"/>
    <x v="0"/>
    <x v="2"/>
    <x v="1"/>
    <x v="11"/>
    <x v="0"/>
    <x v="4"/>
    <x v="4"/>
    <x v="0"/>
    <x v="0"/>
    <x v="1"/>
    <x v="1"/>
    <x v="4"/>
    <x v="1"/>
  </r>
  <r>
    <x v="298"/>
    <x v="0"/>
    <x v="0"/>
    <x v="0"/>
    <x v="0"/>
    <x v="8"/>
    <x v="5"/>
    <x v="2"/>
    <x v="2"/>
    <x v="1"/>
    <x v="2"/>
    <x v="1"/>
    <x v="0"/>
    <x v="9"/>
    <x v="1"/>
  </r>
  <r>
    <x v="299"/>
    <x v="0"/>
    <x v="0"/>
    <x v="0"/>
    <x v="0"/>
    <x v="1"/>
    <x v="4"/>
    <x v="1"/>
    <x v="1"/>
    <x v="1"/>
    <x v="2"/>
    <x v="2"/>
    <x v="1"/>
    <x v="45"/>
    <x v="0"/>
  </r>
  <r>
    <x v="300"/>
    <x v="1"/>
    <x v="1"/>
    <x v="0"/>
    <x v="0"/>
    <x v="4"/>
    <x v="2"/>
    <x v="2"/>
    <x v="0"/>
    <x v="1"/>
    <x v="2"/>
    <x v="3"/>
    <x v="1"/>
    <x v="24"/>
    <x v="0"/>
  </r>
  <r>
    <x v="301"/>
    <x v="1"/>
    <x v="1"/>
    <x v="0"/>
    <x v="0"/>
    <x v="0"/>
    <x v="3"/>
    <x v="0"/>
    <x v="1"/>
    <x v="1"/>
    <x v="0"/>
    <x v="0"/>
    <x v="1"/>
    <x v="26"/>
    <x v="1"/>
  </r>
  <r>
    <x v="302"/>
    <x v="1"/>
    <x v="1"/>
    <x v="2"/>
    <x v="1"/>
    <x v="1"/>
    <x v="0"/>
    <x v="0"/>
    <x v="1"/>
    <x v="0"/>
    <x v="0"/>
    <x v="0"/>
    <x v="0"/>
    <x v="24"/>
    <x v="1"/>
  </r>
  <r>
    <x v="303"/>
    <x v="0"/>
    <x v="0"/>
    <x v="0"/>
    <x v="0"/>
    <x v="1"/>
    <x v="0"/>
    <x v="0"/>
    <x v="0"/>
    <x v="0"/>
    <x v="2"/>
    <x v="0"/>
    <x v="0"/>
    <x v="8"/>
    <x v="0"/>
  </r>
  <r>
    <x v="304"/>
    <x v="0"/>
    <x v="0"/>
    <x v="2"/>
    <x v="1"/>
    <x v="2"/>
    <x v="5"/>
    <x v="4"/>
    <x v="4"/>
    <x v="0"/>
    <x v="1"/>
    <x v="0"/>
    <x v="1"/>
    <x v="4"/>
    <x v="1"/>
  </r>
  <r>
    <x v="305"/>
    <x v="1"/>
    <x v="1"/>
    <x v="2"/>
    <x v="1"/>
    <x v="4"/>
    <x v="4"/>
    <x v="3"/>
    <x v="1"/>
    <x v="0"/>
    <x v="2"/>
    <x v="2"/>
    <x v="1"/>
    <x v="7"/>
    <x v="0"/>
  </r>
  <r>
    <x v="306"/>
    <x v="0"/>
    <x v="0"/>
    <x v="2"/>
    <x v="1"/>
    <x v="8"/>
    <x v="4"/>
    <x v="0"/>
    <x v="2"/>
    <x v="0"/>
    <x v="0"/>
    <x v="3"/>
    <x v="1"/>
    <x v="8"/>
    <x v="1"/>
  </r>
  <r>
    <x v="307"/>
    <x v="0"/>
    <x v="0"/>
    <x v="2"/>
    <x v="1"/>
    <x v="4"/>
    <x v="4"/>
    <x v="0"/>
    <x v="1"/>
    <x v="0"/>
    <x v="1"/>
    <x v="0"/>
    <x v="0"/>
    <x v="29"/>
    <x v="0"/>
  </r>
  <r>
    <x v="308"/>
    <x v="0"/>
    <x v="0"/>
    <x v="2"/>
    <x v="1"/>
    <x v="0"/>
    <x v="4"/>
    <x v="1"/>
    <x v="1"/>
    <x v="0"/>
    <x v="1"/>
    <x v="3"/>
    <x v="0"/>
    <x v="11"/>
    <x v="1"/>
  </r>
  <r>
    <x v="309"/>
    <x v="0"/>
    <x v="0"/>
    <x v="0"/>
    <x v="0"/>
    <x v="6"/>
    <x v="4"/>
    <x v="1"/>
    <x v="3"/>
    <x v="0"/>
    <x v="1"/>
    <x v="1"/>
    <x v="0"/>
    <x v="15"/>
    <x v="1"/>
  </r>
  <r>
    <x v="310"/>
    <x v="0"/>
    <x v="0"/>
    <x v="2"/>
    <x v="1"/>
    <x v="7"/>
    <x v="5"/>
    <x v="0"/>
    <x v="4"/>
    <x v="0"/>
    <x v="1"/>
    <x v="1"/>
    <x v="1"/>
    <x v="15"/>
    <x v="0"/>
  </r>
  <r>
    <x v="311"/>
    <x v="0"/>
    <x v="0"/>
    <x v="2"/>
    <x v="1"/>
    <x v="10"/>
    <x v="0"/>
    <x v="1"/>
    <x v="0"/>
    <x v="0"/>
    <x v="1"/>
    <x v="2"/>
    <x v="1"/>
    <x v="30"/>
    <x v="0"/>
  </r>
  <r>
    <x v="312"/>
    <x v="0"/>
    <x v="0"/>
    <x v="2"/>
    <x v="1"/>
    <x v="6"/>
    <x v="5"/>
    <x v="2"/>
    <x v="0"/>
    <x v="0"/>
    <x v="2"/>
    <x v="2"/>
    <x v="1"/>
    <x v="7"/>
    <x v="1"/>
  </r>
  <r>
    <x v="313"/>
    <x v="1"/>
    <x v="1"/>
    <x v="2"/>
    <x v="1"/>
    <x v="0"/>
    <x v="1"/>
    <x v="3"/>
    <x v="1"/>
    <x v="1"/>
    <x v="2"/>
    <x v="2"/>
    <x v="1"/>
    <x v="31"/>
    <x v="1"/>
  </r>
  <r>
    <x v="314"/>
    <x v="0"/>
    <x v="0"/>
    <x v="2"/>
    <x v="1"/>
    <x v="2"/>
    <x v="2"/>
    <x v="0"/>
    <x v="2"/>
    <x v="1"/>
    <x v="1"/>
    <x v="0"/>
    <x v="1"/>
    <x v="15"/>
    <x v="1"/>
  </r>
  <r>
    <x v="315"/>
    <x v="1"/>
    <x v="1"/>
    <x v="2"/>
    <x v="1"/>
    <x v="3"/>
    <x v="3"/>
    <x v="0"/>
    <x v="2"/>
    <x v="1"/>
    <x v="1"/>
    <x v="2"/>
    <x v="1"/>
    <x v="3"/>
    <x v="0"/>
  </r>
  <r>
    <x v="316"/>
    <x v="0"/>
    <x v="0"/>
    <x v="2"/>
    <x v="1"/>
    <x v="14"/>
    <x v="4"/>
    <x v="4"/>
    <x v="4"/>
    <x v="0"/>
    <x v="1"/>
    <x v="2"/>
    <x v="1"/>
    <x v="46"/>
    <x v="1"/>
  </r>
  <r>
    <x v="317"/>
    <x v="0"/>
    <x v="0"/>
    <x v="2"/>
    <x v="1"/>
    <x v="1"/>
    <x v="3"/>
    <x v="0"/>
    <x v="1"/>
    <x v="0"/>
    <x v="0"/>
    <x v="0"/>
    <x v="0"/>
    <x v="11"/>
    <x v="1"/>
  </r>
  <r>
    <x v="318"/>
    <x v="0"/>
    <x v="0"/>
    <x v="2"/>
    <x v="1"/>
    <x v="12"/>
    <x v="5"/>
    <x v="1"/>
    <x v="2"/>
    <x v="1"/>
    <x v="4"/>
    <x v="4"/>
    <x v="0"/>
    <x v="9"/>
    <x v="0"/>
  </r>
  <r>
    <x v="319"/>
    <x v="0"/>
    <x v="0"/>
    <x v="0"/>
    <x v="0"/>
    <x v="1"/>
    <x v="1"/>
    <x v="0"/>
    <x v="1"/>
    <x v="0"/>
    <x v="0"/>
    <x v="0"/>
    <x v="0"/>
    <x v="12"/>
    <x v="0"/>
  </r>
  <r>
    <x v="320"/>
    <x v="0"/>
    <x v="0"/>
    <x v="2"/>
    <x v="1"/>
    <x v="11"/>
    <x v="3"/>
    <x v="4"/>
    <x v="4"/>
    <x v="0"/>
    <x v="0"/>
    <x v="1"/>
    <x v="1"/>
    <x v="8"/>
    <x v="1"/>
  </r>
  <r>
    <x v="321"/>
    <x v="1"/>
    <x v="1"/>
    <x v="0"/>
    <x v="0"/>
    <x v="5"/>
    <x v="3"/>
    <x v="4"/>
    <x v="4"/>
    <x v="1"/>
    <x v="4"/>
    <x v="0"/>
    <x v="1"/>
    <x v="15"/>
    <x v="1"/>
  </r>
  <r>
    <x v="322"/>
    <x v="1"/>
    <x v="1"/>
    <x v="0"/>
    <x v="0"/>
    <x v="4"/>
    <x v="5"/>
    <x v="3"/>
    <x v="3"/>
    <x v="0"/>
    <x v="2"/>
    <x v="0"/>
    <x v="0"/>
    <x v="3"/>
    <x v="1"/>
  </r>
  <r>
    <x v="323"/>
    <x v="1"/>
    <x v="1"/>
    <x v="0"/>
    <x v="0"/>
    <x v="0"/>
    <x v="3"/>
    <x v="4"/>
    <x v="1"/>
    <x v="1"/>
    <x v="0"/>
    <x v="0"/>
    <x v="0"/>
    <x v="34"/>
    <x v="1"/>
  </r>
  <r>
    <x v="324"/>
    <x v="0"/>
    <x v="0"/>
    <x v="2"/>
    <x v="1"/>
    <x v="8"/>
    <x v="5"/>
    <x v="0"/>
    <x v="2"/>
    <x v="0"/>
    <x v="0"/>
    <x v="3"/>
    <x v="1"/>
    <x v="13"/>
    <x v="1"/>
  </r>
  <r>
    <x v="325"/>
    <x v="1"/>
    <x v="1"/>
    <x v="2"/>
    <x v="1"/>
    <x v="0"/>
    <x v="4"/>
    <x v="1"/>
    <x v="1"/>
    <x v="1"/>
    <x v="2"/>
    <x v="0"/>
    <x v="0"/>
    <x v="4"/>
    <x v="1"/>
  </r>
  <r>
    <x v="326"/>
    <x v="0"/>
    <x v="0"/>
    <x v="0"/>
    <x v="0"/>
    <x v="6"/>
    <x v="3"/>
    <x v="0"/>
    <x v="1"/>
    <x v="1"/>
    <x v="0"/>
    <x v="0"/>
    <x v="1"/>
    <x v="22"/>
    <x v="1"/>
  </r>
  <r>
    <x v="327"/>
    <x v="0"/>
    <x v="0"/>
    <x v="2"/>
    <x v="1"/>
    <x v="1"/>
    <x v="0"/>
    <x v="0"/>
    <x v="0"/>
    <x v="0"/>
    <x v="2"/>
    <x v="0"/>
    <x v="0"/>
    <x v="8"/>
    <x v="0"/>
  </r>
  <r>
    <x v="328"/>
    <x v="1"/>
    <x v="1"/>
    <x v="2"/>
    <x v="1"/>
    <x v="0"/>
    <x v="4"/>
    <x v="1"/>
    <x v="1"/>
    <x v="0"/>
    <x v="2"/>
    <x v="3"/>
    <x v="0"/>
    <x v="4"/>
    <x v="0"/>
  </r>
  <r>
    <x v="329"/>
    <x v="0"/>
    <x v="0"/>
    <x v="0"/>
    <x v="0"/>
    <x v="8"/>
    <x v="2"/>
    <x v="3"/>
    <x v="0"/>
    <x v="0"/>
    <x v="2"/>
    <x v="4"/>
    <x v="0"/>
    <x v="14"/>
    <x v="0"/>
  </r>
  <r>
    <x v="330"/>
    <x v="1"/>
    <x v="1"/>
    <x v="0"/>
    <x v="0"/>
    <x v="2"/>
    <x v="3"/>
    <x v="0"/>
    <x v="2"/>
    <x v="0"/>
    <x v="4"/>
    <x v="4"/>
    <x v="1"/>
    <x v="21"/>
    <x v="0"/>
  </r>
  <r>
    <x v="331"/>
    <x v="0"/>
    <x v="0"/>
    <x v="2"/>
    <x v="1"/>
    <x v="4"/>
    <x v="3"/>
    <x v="3"/>
    <x v="3"/>
    <x v="1"/>
    <x v="2"/>
    <x v="0"/>
    <x v="0"/>
    <x v="25"/>
    <x v="0"/>
  </r>
  <r>
    <x v="332"/>
    <x v="1"/>
    <x v="1"/>
    <x v="0"/>
    <x v="0"/>
    <x v="6"/>
    <x v="3"/>
    <x v="3"/>
    <x v="3"/>
    <x v="1"/>
    <x v="2"/>
    <x v="3"/>
    <x v="0"/>
    <x v="11"/>
    <x v="1"/>
  </r>
  <r>
    <x v="333"/>
    <x v="0"/>
    <x v="0"/>
    <x v="2"/>
    <x v="1"/>
    <x v="12"/>
    <x v="1"/>
    <x v="2"/>
    <x v="2"/>
    <x v="0"/>
    <x v="3"/>
    <x v="2"/>
    <x v="0"/>
    <x v="36"/>
    <x v="1"/>
  </r>
  <r>
    <x v="334"/>
    <x v="0"/>
    <x v="0"/>
    <x v="2"/>
    <x v="1"/>
    <x v="8"/>
    <x v="4"/>
    <x v="0"/>
    <x v="2"/>
    <x v="0"/>
    <x v="1"/>
    <x v="2"/>
    <x v="1"/>
    <x v="15"/>
    <x v="0"/>
  </r>
  <r>
    <x v="335"/>
    <x v="0"/>
    <x v="0"/>
    <x v="2"/>
    <x v="1"/>
    <x v="2"/>
    <x v="2"/>
    <x v="4"/>
    <x v="4"/>
    <x v="1"/>
    <x v="2"/>
    <x v="0"/>
    <x v="1"/>
    <x v="32"/>
    <x v="0"/>
  </r>
  <r>
    <x v="336"/>
    <x v="1"/>
    <x v="1"/>
    <x v="2"/>
    <x v="1"/>
    <x v="6"/>
    <x v="3"/>
    <x v="3"/>
    <x v="3"/>
    <x v="1"/>
    <x v="2"/>
    <x v="0"/>
    <x v="0"/>
    <x v="17"/>
    <x v="0"/>
  </r>
  <r>
    <x v="337"/>
    <x v="0"/>
    <x v="0"/>
    <x v="2"/>
    <x v="1"/>
    <x v="4"/>
    <x v="3"/>
    <x v="3"/>
    <x v="3"/>
    <x v="0"/>
    <x v="2"/>
    <x v="0"/>
    <x v="0"/>
    <x v="21"/>
    <x v="0"/>
  </r>
  <r>
    <x v="338"/>
    <x v="1"/>
    <x v="1"/>
    <x v="0"/>
    <x v="0"/>
    <x v="7"/>
    <x v="1"/>
    <x v="2"/>
    <x v="2"/>
    <x v="0"/>
    <x v="3"/>
    <x v="2"/>
    <x v="0"/>
    <x v="5"/>
    <x v="1"/>
  </r>
  <r>
    <x v="339"/>
    <x v="0"/>
    <x v="0"/>
    <x v="2"/>
    <x v="1"/>
    <x v="6"/>
    <x v="0"/>
    <x v="0"/>
    <x v="1"/>
    <x v="0"/>
    <x v="0"/>
    <x v="0"/>
    <x v="0"/>
    <x v="29"/>
    <x v="0"/>
  </r>
  <r>
    <x v="340"/>
    <x v="1"/>
    <x v="1"/>
    <x v="2"/>
    <x v="1"/>
    <x v="1"/>
    <x v="3"/>
    <x v="1"/>
    <x v="1"/>
    <x v="0"/>
    <x v="1"/>
    <x v="1"/>
    <x v="0"/>
    <x v="25"/>
    <x v="0"/>
  </r>
  <r>
    <x v="341"/>
    <x v="1"/>
    <x v="1"/>
    <x v="0"/>
    <x v="0"/>
    <x v="1"/>
    <x v="3"/>
    <x v="2"/>
    <x v="3"/>
    <x v="1"/>
    <x v="1"/>
    <x v="1"/>
    <x v="0"/>
    <x v="21"/>
    <x v="1"/>
  </r>
  <r>
    <x v="342"/>
    <x v="1"/>
    <x v="1"/>
    <x v="2"/>
    <x v="1"/>
    <x v="4"/>
    <x v="3"/>
    <x v="3"/>
    <x v="3"/>
    <x v="0"/>
    <x v="2"/>
    <x v="3"/>
    <x v="0"/>
    <x v="11"/>
    <x v="0"/>
  </r>
  <r>
    <x v="343"/>
    <x v="1"/>
    <x v="1"/>
    <x v="0"/>
    <x v="0"/>
    <x v="1"/>
    <x v="3"/>
    <x v="2"/>
    <x v="3"/>
    <x v="1"/>
    <x v="1"/>
    <x v="1"/>
    <x v="0"/>
    <x v="21"/>
    <x v="0"/>
  </r>
  <r>
    <x v="344"/>
    <x v="1"/>
    <x v="1"/>
    <x v="2"/>
    <x v="1"/>
    <x v="1"/>
    <x v="3"/>
    <x v="1"/>
    <x v="1"/>
    <x v="1"/>
    <x v="1"/>
    <x v="1"/>
    <x v="0"/>
    <x v="23"/>
    <x v="1"/>
  </r>
  <r>
    <x v="345"/>
    <x v="0"/>
    <x v="0"/>
    <x v="0"/>
    <x v="0"/>
    <x v="6"/>
    <x v="0"/>
    <x v="0"/>
    <x v="1"/>
    <x v="0"/>
    <x v="0"/>
    <x v="0"/>
    <x v="0"/>
    <x v="5"/>
    <x v="1"/>
  </r>
  <r>
    <x v="346"/>
    <x v="0"/>
    <x v="0"/>
    <x v="2"/>
    <x v="1"/>
    <x v="0"/>
    <x v="0"/>
    <x v="0"/>
    <x v="0"/>
    <x v="1"/>
    <x v="0"/>
    <x v="0"/>
    <x v="0"/>
    <x v="1"/>
    <x v="1"/>
  </r>
  <r>
    <x v="347"/>
    <x v="1"/>
    <x v="1"/>
    <x v="0"/>
    <x v="0"/>
    <x v="10"/>
    <x v="0"/>
    <x v="1"/>
    <x v="0"/>
    <x v="1"/>
    <x v="1"/>
    <x v="0"/>
    <x v="1"/>
    <x v="12"/>
    <x v="1"/>
  </r>
  <r>
    <x v="348"/>
    <x v="0"/>
    <x v="0"/>
    <x v="2"/>
    <x v="1"/>
    <x v="6"/>
    <x v="4"/>
    <x v="2"/>
    <x v="3"/>
    <x v="0"/>
    <x v="2"/>
    <x v="0"/>
    <x v="0"/>
    <x v="0"/>
    <x v="0"/>
  </r>
  <r>
    <x v="349"/>
    <x v="1"/>
    <x v="1"/>
    <x v="0"/>
    <x v="0"/>
    <x v="1"/>
    <x v="3"/>
    <x v="1"/>
    <x v="1"/>
    <x v="1"/>
    <x v="1"/>
    <x v="0"/>
    <x v="0"/>
    <x v="19"/>
    <x v="1"/>
  </r>
  <r>
    <x v="350"/>
    <x v="1"/>
    <x v="1"/>
    <x v="2"/>
    <x v="1"/>
    <x v="6"/>
    <x v="3"/>
    <x v="1"/>
    <x v="3"/>
    <x v="1"/>
    <x v="0"/>
    <x v="0"/>
    <x v="1"/>
    <x v="26"/>
    <x v="1"/>
  </r>
  <r>
    <x v="351"/>
    <x v="1"/>
    <x v="1"/>
    <x v="2"/>
    <x v="1"/>
    <x v="4"/>
    <x v="1"/>
    <x v="2"/>
    <x v="3"/>
    <x v="0"/>
    <x v="0"/>
    <x v="0"/>
    <x v="0"/>
    <x v="34"/>
    <x v="1"/>
  </r>
  <r>
    <x v="352"/>
    <x v="0"/>
    <x v="0"/>
    <x v="0"/>
    <x v="0"/>
    <x v="2"/>
    <x v="5"/>
    <x v="1"/>
    <x v="2"/>
    <x v="0"/>
    <x v="2"/>
    <x v="1"/>
    <x v="0"/>
    <x v="39"/>
    <x v="0"/>
  </r>
  <r>
    <x v="353"/>
    <x v="1"/>
    <x v="1"/>
    <x v="2"/>
    <x v="1"/>
    <x v="0"/>
    <x v="3"/>
    <x v="4"/>
    <x v="1"/>
    <x v="1"/>
    <x v="0"/>
    <x v="0"/>
    <x v="0"/>
    <x v="13"/>
    <x v="1"/>
  </r>
  <r>
    <x v="354"/>
    <x v="1"/>
    <x v="1"/>
    <x v="2"/>
    <x v="1"/>
    <x v="1"/>
    <x v="0"/>
    <x v="0"/>
    <x v="1"/>
    <x v="1"/>
    <x v="1"/>
    <x v="3"/>
    <x v="0"/>
    <x v="32"/>
    <x v="0"/>
  </r>
  <r>
    <x v="355"/>
    <x v="1"/>
    <x v="1"/>
    <x v="2"/>
    <x v="1"/>
    <x v="2"/>
    <x v="3"/>
    <x v="0"/>
    <x v="2"/>
    <x v="0"/>
    <x v="4"/>
    <x v="4"/>
    <x v="1"/>
    <x v="21"/>
    <x v="0"/>
  </r>
  <r>
    <x v="356"/>
    <x v="0"/>
    <x v="0"/>
    <x v="0"/>
    <x v="0"/>
    <x v="13"/>
    <x v="1"/>
    <x v="2"/>
    <x v="2"/>
    <x v="0"/>
    <x v="4"/>
    <x v="0"/>
    <x v="0"/>
    <x v="36"/>
    <x v="1"/>
  </r>
  <r>
    <x v="357"/>
    <x v="1"/>
    <x v="1"/>
    <x v="0"/>
    <x v="0"/>
    <x v="4"/>
    <x v="3"/>
    <x v="3"/>
    <x v="3"/>
    <x v="0"/>
    <x v="2"/>
    <x v="3"/>
    <x v="0"/>
    <x v="6"/>
    <x v="0"/>
  </r>
  <r>
    <x v="358"/>
    <x v="0"/>
    <x v="0"/>
    <x v="2"/>
    <x v="1"/>
    <x v="8"/>
    <x v="5"/>
    <x v="2"/>
    <x v="4"/>
    <x v="0"/>
    <x v="4"/>
    <x v="2"/>
    <x v="0"/>
    <x v="7"/>
    <x v="1"/>
  </r>
  <r>
    <x v="359"/>
    <x v="0"/>
    <x v="0"/>
    <x v="2"/>
    <x v="1"/>
    <x v="2"/>
    <x v="3"/>
    <x v="0"/>
    <x v="2"/>
    <x v="0"/>
    <x v="4"/>
    <x v="4"/>
    <x v="1"/>
    <x v="25"/>
    <x v="0"/>
  </r>
  <r>
    <x v="360"/>
    <x v="1"/>
    <x v="1"/>
    <x v="2"/>
    <x v="1"/>
    <x v="12"/>
    <x v="3"/>
    <x v="4"/>
    <x v="4"/>
    <x v="0"/>
    <x v="0"/>
    <x v="1"/>
    <x v="1"/>
    <x v="28"/>
    <x v="1"/>
  </r>
  <r>
    <x v="361"/>
    <x v="1"/>
    <x v="1"/>
    <x v="0"/>
    <x v="0"/>
    <x v="1"/>
    <x v="1"/>
    <x v="1"/>
    <x v="1"/>
    <x v="1"/>
    <x v="2"/>
    <x v="0"/>
    <x v="0"/>
    <x v="40"/>
    <x v="1"/>
  </r>
  <r>
    <x v="362"/>
    <x v="0"/>
    <x v="0"/>
    <x v="2"/>
    <x v="1"/>
    <x v="0"/>
    <x v="0"/>
    <x v="0"/>
    <x v="0"/>
    <x v="0"/>
    <x v="1"/>
    <x v="0"/>
    <x v="0"/>
    <x v="6"/>
    <x v="1"/>
  </r>
  <r>
    <x v="363"/>
    <x v="0"/>
    <x v="0"/>
    <x v="0"/>
    <x v="0"/>
    <x v="0"/>
    <x v="4"/>
    <x v="0"/>
    <x v="4"/>
    <x v="0"/>
    <x v="2"/>
    <x v="0"/>
    <x v="1"/>
    <x v="29"/>
    <x v="1"/>
  </r>
  <r>
    <x v="364"/>
    <x v="1"/>
    <x v="1"/>
    <x v="0"/>
    <x v="0"/>
    <x v="4"/>
    <x v="4"/>
    <x v="2"/>
    <x v="3"/>
    <x v="0"/>
    <x v="1"/>
    <x v="0"/>
    <x v="0"/>
    <x v="13"/>
    <x v="1"/>
  </r>
  <r>
    <x v="365"/>
    <x v="1"/>
    <x v="1"/>
    <x v="0"/>
    <x v="0"/>
    <x v="0"/>
    <x v="3"/>
    <x v="0"/>
    <x v="1"/>
    <x v="1"/>
    <x v="0"/>
    <x v="0"/>
    <x v="0"/>
    <x v="13"/>
    <x v="1"/>
  </r>
  <r>
    <x v="366"/>
    <x v="0"/>
    <x v="0"/>
    <x v="2"/>
    <x v="1"/>
    <x v="10"/>
    <x v="0"/>
    <x v="1"/>
    <x v="0"/>
    <x v="0"/>
    <x v="1"/>
    <x v="0"/>
    <x v="1"/>
    <x v="12"/>
    <x v="1"/>
  </r>
  <r>
    <x v="367"/>
    <x v="0"/>
    <x v="0"/>
    <x v="0"/>
    <x v="0"/>
    <x v="12"/>
    <x v="1"/>
    <x v="1"/>
    <x v="2"/>
    <x v="0"/>
    <x v="4"/>
    <x v="2"/>
    <x v="0"/>
    <x v="5"/>
    <x v="1"/>
  </r>
  <r>
    <x v="368"/>
    <x v="1"/>
    <x v="1"/>
    <x v="0"/>
    <x v="0"/>
    <x v="1"/>
    <x v="4"/>
    <x v="1"/>
    <x v="1"/>
    <x v="1"/>
    <x v="2"/>
    <x v="2"/>
    <x v="1"/>
    <x v="2"/>
    <x v="1"/>
  </r>
  <r>
    <x v="369"/>
    <x v="1"/>
    <x v="1"/>
    <x v="0"/>
    <x v="0"/>
    <x v="6"/>
    <x v="4"/>
    <x v="1"/>
    <x v="3"/>
    <x v="1"/>
    <x v="1"/>
    <x v="0"/>
    <x v="0"/>
    <x v="39"/>
    <x v="1"/>
  </r>
  <r>
    <x v="370"/>
    <x v="0"/>
    <x v="0"/>
    <x v="0"/>
    <x v="0"/>
    <x v="11"/>
    <x v="5"/>
    <x v="0"/>
    <x v="2"/>
    <x v="0"/>
    <x v="1"/>
    <x v="4"/>
    <x v="1"/>
    <x v="30"/>
    <x v="0"/>
  </r>
  <r>
    <x v="371"/>
    <x v="1"/>
    <x v="1"/>
    <x v="2"/>
    <x v="1"/>
    <x v="2"/>
    <x v="2"/>
    <x v="4"/>
    <x v="4"/>
    <x v="0"/>
    <x v="4"/>
    <x v="0"/>
    <x v="1"/>
    <x v="5"/>
    <x v="0"/>
  </r>
  <r>
    <x v="372"/>
    <x v="0"/>
    <x v="0"/>
    <x v="2"/>
    <x v="1"/>
    <x v="0"/>
    <x v="0"/>
    <x v="0"/>
    <x v="0"/>
    <x v="0"/>
    <x v="1"/>
    <x v="0"/>
    <x v="0"/>
    <x v="1"/>
    <x v="1"/>
  </r>
  <r>
    <x v="373"/>
    <x v="1"/>
    <x v="1"/>
    <x v="2"/>
    <x v="1"/>
    <x v="6"/>
    <x v="3"/>
    <x v="2"/>
    <x v="3"/>
    <x v="1"/>
    <x v="1"/>
    <x v="1"/>
    <x v="0"/>
    <x v="25"/>
    <x v="0"/>
  </r>
  <r>
    <x v="374"/>
    <x v="1"/>
    <x v="1"/>
    <x v="0"/>
    <x v="0"/>
    <x v="2"/>
    <x v="2"/>
    <x v="0"/>
    <x v="2"/>
    <x v="0"/>
    <x v="3"/>
    <x v="3"/>
    <x v="1"/>
    <x v="13"/>
    <x v="0"/>
  </r>
  <r>
    <x v="375"/>
    <x v="0"/>
    <x v="0"/>
    <x v="0"/>
    <x v="0"/>
    <x v="0"/>
    <x v="0"/>
    <x v="0"/>
    <x v="0"/>
    <x v="0"/>
    <x v="1"/>
    <x v="0"/>
    <x v="0"/>
    <x v="47"/>
    <x v="0"/>
  </r>
  <r>
    <x v="376"/>
    <x v="0"/>
    <x v="0"/>
    <x v="2"/>
    <x v="1"/>
    <x v="6"/>
    <x v="0"/>
    <x v="0"/>
    <x v="1"/>
    <x v="0"/>
    <x v="0"/>
    <x v="0"/>
    <x v="0"/>
    <x v="46"/>
    <x v="1"/>
  </r>
  <r>
    <x v="377"/>
    <x v="0"/>
    <x v="0"/>
    <x v="2"/>
    <x v="1"/>
    <x v="12"/>
    <x v="1"/>
    <x v="1"/>
    <x v="2"/>
    <x v="1"/>
    <x v="4"/>
    <x v="2"/>
    <x v="0"/>
    <x v="36"/>
    <x v="1"/>
  </r>
  <r>
    <x v="378"/>
    <x v="0"/>
    <x v="0"/>
    <x v="2"/>
    <x v="1"/>
    <x v="1"/>
    <x v="1"/>
    <x v="1"/>
    <x v="1"/>
    <x v="1"/>
    <x v="2"/>
    <x v="2"/>
    <x v="1"/>
    <x v="16"/>
    <x v="0"/>
  </r>
  <r>
    <x v="379"/>
    <x v="0"/>
    <x v="0"/>
    <x v="2"/>
    <x v="1"/>
    <x v="10"/>
    <x v="1"/>
    <x v="0"/>
    <x v="2"/>
    <x v="0"/>
    <x v="2"/>
    <x v="2"/>
    <x v="1"/>
    <x v="1"/>
    <x v="0"/>
  </r>
  <r>
    <x v="380"/>
    <x v="1"/>
    <x v="1"/>
    <x v="2"/>
    <x v="1"/>
    <x v="3"/>
    <x v="3"/>
    <x v="0"/>
    <x v="2"/>
    <x v="1"/>
    <x v="4"/>
    <x v="4"/>
    <x v="1"/>
    <x v="25"/>
    <x v="1"/>
  </r>
  <r>
    <x v="381"/>
    <x v="0"/>
    <x v="0"/>
    <x v="0"/>
    <x v="0"/>
    <x v="1"/>
    <x v="4"/>
    <x v="1"/>
    <x v="1"/>
    <x v="0"/>
    <x v="2"/>
    <x v="2"/>
    <x v="1"/>
    <x v="45"/>
    <x v="0"/>
  </r>
  <r>
    <x v="382"/>
    <x v="0"/>
    <x v="0"/>
    <x v="2"/>
    <x v="1"/>
    <x v="2"/>
    <x v="5"/>
    <x v="1"/>
    <x v="2"/>
    <x v="0"/>
    <x v="2"/>
    <x v="4"/>
    <x v="0"/>
    <x v="39"/>
    <x v="0"/>
  </r>
  <r>
    <x v="383"/>
    <x v="0"/>
    <x v="0"/>
    <x v="2"/>
    <x v="1"/>
    <x v="0"/>
    <x v="3"/>
    <x v="4"/>
    <x v="1"/>
    <x v="0"/>
    <x v="0"/>
    <x v="0"/>
    <x v="0"/>
    <x v="34"/>
    <x v="1"/>
  </r>
  <r>
    <x v="384"/>
    <x v="1"/>
    <x v="1"/>
    <x v="0"/>
    <x v="0"/>
    <x v="4"/>
    <x v="3"/>
    <x v="1"/>
    <x v="3"/>
    <x v="1"/>
    <x v="1"/>
    <x v="0"/>
    <x v="1"/>
    <x v="26"/>
    <x v="1"/>
  </r>
  <r>
    <x v="385"/>
    <x v="1"/>
    <x v="1"/>
    <x v="2"/>
    <x v="1"/>
    <x v="1"/>
    <x v="1"/>
    <x v="1"/>
    <x v="1"/>
    <x v="0"/>
    <x v="0"/>
    <x v="0"/>
    <x v="0"/>
    <x v="1"/>
    <x v="0"/>
  </r>
  <r>
    <x v="386"/>
    <x v="1"/>
    <x v="1"/>
    <x v="0"/>
    <x v="0"/>
    <x v="7"/>
    <x v="3"/>
    <x v="3"/>
    <x v="2"/>
    <x v="0"/>
    <x v="3"/>
    <x v="4"/>
    <x v="1"/>
    <x v="17"/>
    <x v="1"/>
  </r>
  <r>
    <x v="387"/>
    <x v="1"/>
    <x v="1"/>
    <x v="0"/>
    <x v="0"/>
    <x v="6"/>
    <x v="3"/>
    <x v="3"/>
    <x v="3"/>
    <x v="1"/>
    <x v="2"/>
    <x v="3"/>
    <x v="0"/>
    <x v="17"/>
    <x v="1"/>
  </r>
  <r>
    <x v="388"/>
    <x v="0"/>
    <x v="0"/>
    <x v="0"/>
    <x v="0"/>
    <x v="1"/>
    <x v="0"/>
    <x v="0"/>
    <x v="1"/>
    <x v="0"/>
    <x v="0"/>
    <x v="0"/>
    <x v="0"/>
    <x v="46"/>
    <x v="0"/>
  </r>
  <r>
    <x v="389"/>
    <x v="0"/>
    <x v="0"/>
    <x v="0"/>
    <x v="0"/>
    <x v="2"/>
    <x v="3"/>
    <x v="0"/>
    <x v="2"/>
    <x v="0"/>
    <x v="1"/>
    <x v="3"/>
    <x v="1"/>
    <x v="3"/>
    <x v="1"/>
  </r>
  <r>
    <x v="390"/>
    <x v="1"/>
    <x v="1"/>
    <x v="2"/>
    <x v="1"/>
    <x v="3"/>
    <x v="3"/>
    <x v="0"/>
    <x v="2"/>
    <x v="1"/>
    <x v="1"/>
    <x v="2"/>
    <x v="1"/>
    <x v="13"/>
    <x v="0"/>
  </r>
  <r>
    <x v="391"/>
    <x v="1"/>
    <x v="1"/>
    <x v="0"/>
    <x v="0"/>
    <x v="3"/>
    <x v="3"/>
    <x v="0"/>
    <x v="2"/>
    <x v="1"/>
    <x v="1"/>
    <x v="0"/>
    <x v="1"/>
    <x v="3"/>
    <x v="1"/>
  </r>
  <r>
    <x v="392"/>
    <x v="1"/>
    <x v="1"/>
    <x v="2"/>
    <x v="1"/>
    <x v="6"/>
    <x v="0"/>
    <x v="0"/>
    <x v="1"/>
    <x v="1"/>
    <x v="0"/>
    <x v="0"/>
    <x v="0"/>
    <x v="36"/>
    <x v="0"/>
  </r>
  <r>
    <x v="393"/>
    <x v="0"/>
    <x v="0"/>
    <x v="0"/>
    <x v="0"/>
    <x v="4"/>
    <x v="3"/>
    <x v="3"/>
    <x v="3"/>
    <x v="0"/>
    <x v="2"/>
    <x v="3"/>
    <x v="0"/>
    <x v="21"/>
    <x v="0"/>
  </r>
  <r>
    <x v="394"/>
    <x v="0"/>
    <x v="0"/>
    <x v="0"/>
    <x v="0"/>
    <x v="0"/>
    <x v="3"/>
    <x v="0"/>
    <x v="1"/>
    <x v="0"/>
    <x v="0"/>
    <x v="0"/>
    <x v="0"/>
    <x v="13"/>
    <x v="1"/>
  </r>
  <r>
    <x v="395"/>
    <x v="0"/>
    <x v="0"/>
    <x v="2"/>
    <x v="1"/>
    <x v="1"/>
    <x v="0"/>
    <x v="0"/>
    <x v="1"/>
    <x v="0"/>
    <x v="0"/>
    <x v="0"/>
    <x v="0"/>
    <x v="13"/>
    <x v="1"/>
  </r>
  <r>
    <x v="396"/>
    <x v="1"/>
    <x v="1"/>
    <x v="2"/>
    <x v="1"/>
    <x v="10"/>
    <x v="4"/>
    <x v="0"/>
    <x v="2"/>
    <x v="0"/>
    <x v="1"/>
    <x v="1"/>
    <x v="1"/>
    <x v="13"/>
    <x v="1"/>
  </r>
  <r>
    <x v="397"/>
    <x v="0"/>
    <x v="0"/>
    <x v="0"/>
    <x v="0"/>
    <x v="4"/>
    <x v="4"/>
    <x v="3"/>
    <x v="1"/>
    <x v="0"/>
    <x v="2"/>
    <x v="2"/>
    <x v="1"/>
    <x v="7"/>
    <x v="0"/>
  </r>
  <r>
    <x v="398"/>
    <x v="1"/>
    <x v="1"/>
    <x v="2"/>
    <x v="1"/>
    <x v="1"/>
    <x v="0"/>
    <x v="0"/>
    <x v="1"/>
    <x v="0"/>
    <x v="1"/>
    <x v="3"/>
    <x v="0"/>
    <x v="32"/>
    <x v="1"/>
  </r>
  <r>
    <x v="399"/>
    <x v="1"/>
    <x v="1"/>
    <x v="0"/>
    <x v="0"/>
    <x v="0"/>
    <x v="4"/>
    <x v="0"/>
    <x v="4"/>
    <x v="1"/>
    <x v="1"/>
    <x v="2"/>
    <x v="1"/>
    <x v="39"/>
    <x v="1"/>
  </r>
  <r>
    <x v="400"/>
    <x v="1"/>
    <x v="1"/>
    <x v="0"/>
    <x v="0"/>
    <x v="15"/>
    <x v="1"/>
    <x v="0"/>
    <x v="4"/>
    <x v="0"/>
    <x v="3"/>
    <x v="4"/>
    <x v="0"/>
    <x v="39"/>
    <x v="0"/>
  </r>
  <r>
    <x v="401"/>
    <x v="0"/>
    <x v="0"/>
    <x v="0"/>
    <x v="0"/>
    <x v="0"/>
    <x v="0"/>
    <x v="0"/>
    <x v="1"/>
    <x v="0"/>
    <x v="0"/>
    <x v="0"/>
    <x v="0"/>
    <x v="48"/>
    <x v="0"/>
  </r>
  <r>
    <x v="402"/>
    <x v="0"/>
    <x v="0"/>
    <x v="2"/>
    <x v="1"/>
    <x v="4"/>
    <x v="0"/>
    <x v="4"/>
    <x v="3"/>
    <x v="0"/>
    <x v="0"/>
    <x v="0"/>
    <x v="0"/>
    <x v="20"/>
    <x v="0"/>
  </r>
  <r>
    <x v="403"/>
    <x v="0"/>
    <x v="0"/>
    <x v="2"/>
    <x v="1"/>
    <x v="6"/>
    <x v="0"/>
    <x v="4"/>
    <x v="1"/>
    <x v="0"/>
    <x v="0"/>
    <x v="0"/>
    <x v="0"/>
    <x v="20"/>
    <x v="0"/>
  </r>
  <r>
    <x v="404"/>
    <x v="0"/>
    <x v="0"/>
    <x v="2"/>
    <x v="1"/>
    <x v="1"/>
    <x v="1"/>
    <x v="2"/>
    <x v="0"/>
    <x v="0"/>
    <x v="2"/>
    <x v="2"/>
    <x v="1"/>
    <x v="9"/>
    <x v="1"/>
  </r>
  <r>
    <x v="405"/>
    <x v="0"/>
    <x v="0"/>
    <x v="0"/>
    <x v="0"/>
    <x v="1"/>
    <x v="3"/>
    <x v="0"/>
    <x v="1"/>
    <x v="0"/>
    <x v="0"/>
    <x v="0"/>
    <x v="0"/>
    <x v="34"/>
    <x v="1"/>
  </r>
  <r>
    <x v="406"/>
    <x v="0"/>
    <x v="0"/>
    <x v="0"/>
    <x v="0"/>
    <x v="0"/>
    <x v="0"/>
    <x v="0"/>
    <x v="0"/>
    <x v="0"/>
    <x v="0"/>
    <x v="0"/>
    <x v="0"/>
    <x v="3"/>
    <x v="0"/>
  </r>
  <r>
    <x v="407"/>
    <x v="1"/>
    <x v="1"/>
    <x v="0"/>
    <x v="0"/>
    <x v="8"/>
    <x v="4"/>
    <x v="0"/>
    <x v="2"/>
    <x v="1"/>
    <x v="0"/>
    <x v="0"/>
    <x v="1"/>
    <x v="4"/>
    <x v="1"/>
  </r>
  <r>
    <x v="408"/>
    <x v="1"/>
    <x v="1"/>
    <x v="0"/>
    <x v="0"/>
    <x v="0"/>
    <x v="4"/>
    <x v="1"/>
    <x v="1"/>
    <x v="0"/>
    <x v="0"/>
    <x v="0"/>
    <x v="0"/>
    <x v="6"/>
    <x v="0"/>
  </r>
  <r>
    <x v="409"/>
    <x v="0"/>
    <x v="0"/>
    <x v="0"/>
    <x v="0"/>
    <x v="12"/>
    <x v="1"/>
    <x v="1"/>
    <x v="2"/>
    <x v="0"/>
    <x v="3"/>
    <x v="0"/>
    <x v="0"/>
    <x v="31"/>
    <x v="0"/>
  </r>
  <r>
    <x v="410"/>
    <x v="0"/>
    <x v="0"/>
    <x v="0"/>
    <x v="0"/>
    <x v="6"/>
    <x v="4"/>
    <x v="1"/>
    <x v="3"/>
    <x v="0"/>
    <x v="1"/>
    <x v="0"/>
    <x v="0"/>
    <x v="30"/>
    <x v="1"/>
  </r>
  <r>
    <x v="411"/>
    <x v="0"/>
    <x v="0"/>
    <x v="2"/>
    <x v="1"/>
    <x v="3"/>
    <x v="2"/>
    <x v="1"/>
    <x v="0"/>
    <x v="0"/>
    <x v="2"/>
    <x v="2"/>
    <x v="1"/>
    <x v="1"/>
    <x v="0"/>
  </r>
  <r>
    <x v="412"/>
    <x v="1"/>
    <x v="1"/>
    <x v="2"/>
    <x v="1"/>
    <x v="0"/>
    <x v="4"/>
    <x v="1"/>
    <x v="1"/>
    <x v="0"/>
    <x v="0"/>
    <x v="0"/>
    <x v="0"/>
    <x v="17"/>
    <x v="0"/>
  </r>
  <r>
    <x v="413"/>
    <x v="1"/>
    <x v="1"/>
    <x v="0"/>
    <x v="0"/>
    <x v="1"/>
    <x v="4"/>
    <x v="1"/>
    <x v="1"/>
    <x v="1"/>
    <x v="2"/>
    <x v="2"/>
    <x v="1"/>
    <x v="41"/>
    <x v="0"/>
  </r>
  <r>
    <x v="414"/>
    <x v="0"/>
    <x v="0"/>
    <x v="0"/>
    <x v="0"/>
    <x v="0"/>
    <x v="3"/>
    <x v="4"/>
    <x v="1"/>
    <x v="0"/>
    <x v="0"/>
    <x v="0"/>
    <x v="0"/>
    <x v="11"/>
    <x v="1"/>
  </r>
  <r>
    <x v="415"/>
    <x v="0"/>
    <x v="0"/>
    <x v="0"/>
    <x v="0"/>
    <x v="2"/>
    <x v="2"/>
    <x v="4"/>
    <x v="4"/>
    <x v="0"/>
    <x v="4"/>
    <x v="0"/>
    <x v="1"/>
    <x v="8"/>
    <x v="0"/>
  </r>
  <r>
    <x v="416"/>
    <x v="1"/>
    <x v="1"/>
    <x v="2"/>
    <x v="1"/>
    <x v="10"/>
    <x v="4"/>
    <x v="0"/>
    <x v="2"/>
    <x v="1"/>
    <x v="1"/>
    <x v="0"/>
    <x v="1"/>
    <x v="34"/>
    <x v="1"/>
  </r>
  <r>
    <x v="417"/>
    <x v="1"/>
    <x v="1"/>
    <x v="0"/>
    <x v="0"/>
    <x v="1"/>
    <x v="4"/>
    <x v="1"/>
    <x v="1"/>
    <x v="1"/>
    <x v="2"/>
    <x v="2"/>
    <x v="1"/>
    <x v="41"/>
    <x v="0"/>
  </r>
  <r>
    <x v="418"/>
    <x v="0"/>
    <x v="0"/>
    <x v="2"/>
    <x v="1"/>
    <x v="1"/>
    <x v="0"/>
    <x v="0"/>
    <x v="0"/>
    <x v="0"/>
    <x v="2"/>
    <x v="0"/>
    <x v="0"/>
    <x v="3"/>
    <x v="1"/>
  </r>
  <r>
    <x v="419"/>
    <x v="1"/>
    <x v="1"/>
    <x v="2"/>
    <x v="1"/>
    <x v="4"/>
    <x v="4"/>
    <x v="1"/>
    <x v="3"/>
    <x v="0"/>
    <x v="1"/>
    <x v="0"/>
    <x v="0"/>
    <x v="36"/>
    <x v="1"/>
  </r>
  <r>
    <x v="420"/>
    <x v="0"/>
    <x v="0"/>
    <x v="0"/>
    <x v="0"/>
    <x v="11"/>
    <x v="4"/>
    <x v="0"/>
    <x v="4"/>
    <x v="0"/>
    <x v="3"/>
    <x v="4"/>
    <x v="0"/>
    <x v="14"/>
    <x v="0"/>
  </r>
  <r>
    <x v="421"/>
    <x v="0"/>
    <x v="0"/>
    <x v="2"/>
    <x v="1"/>
    <x v="4"/>
    <x v="4"/>
    <x v="1"/>
    <x v="3"/>
    <x v="0"/>
    <x v="0"/>
    <x v="3"/>
    <x v="0"/>
    <x v="36"/>
    <x v="0"/>
  </r>
  <r>
    <x v="422"/>
    <x v="1"/>
    <x v="1"/>
    <x v="2"/>
    <x v="1"/>
    <x v="15"/>
    <x v="3"/>
    <x v="1"/>
    <x v="4"/>
    <x v="1"/>
    <x v="4"/>
    <x v="4"/>
    <x v="1"/>
    <x v="21"/>
    <x v="1"/>
  </r>
  <r>
    <x v="423"/>
    <x v="1"/>
    <x v="1"/>
    <x v="2"/>
    <x v="1"/>
    <x v="1"/>
    <x v="3"/>
    <x v="2"/>
    <x v="3"/>
    <x v="0"/>
    <x v="1"/>
    <x v="1"/>
    <x v="0"/>
    <x v="17"/>
    <x v="1"/>
  </r>
  <r>
    <x v="424"/>
    <x v="1"/>
    <x v="1"/>
    <x v="0"/>
    <x v="0"/>
    <x v="4"/>
    <x v="1"/>
    <x v="3"/>
    <x v="3"/>
    <x v="0"/>
    <x v="2"/>
    <x v="0"/>
    <x v="0"/>
    <x v="1"/>
    <x v="0"/>
  </r>
  <r>
    <x v="425"/>
    <x v="0"/>
    <x v="0"/>
    <x v="2"/>
    <x v="1"/>
    <x v="0"/>
    <x v="4"/>
    <x v="0"/>
    <x v="4"/>
    <x v="0"/>
    <x v="2"/>
    <x v="0"/>
    <x v="1"/>
    <x v="41"/>
    <x v="0"/>
  </r>
  <r>
    <x v="426"/>
    <x v="1"/>
    <x v="1"/>
    <x v="2"/>
    <x v="1"/>
    <x v="1"/>
    <x v="3"/>
    <x v="1"/>
    <x v="1"/>
    <x v="1"/>
    <x v="1"/>
    <x v="1"/>
    <x v="0"/>
    <x v="26"/>
    <x v="0"/>
  </r>
  <r>
    <x v="427"/>
    <x v="1"/>
    <x v="1"/>
    <x v="0"/>
    <x v="0"/>
    <x v="8"/>
    <x v="0"/>
    <x v="4"/>
    <x v="4"/>
    <x v="0"/>
    <x v="0"/>
    <x v="0"/>
    <x v="1"/>
    <x v="4"/>
    <x v="1"/>
  </r>
  <r>
    <x v="428"/>
    <x v="0"/>
    <x v="0"/>
    <x v="2"/>
    <x v="1"/>
    <x v="15"/>
    <x v="5"/>
    <x v="0"/>
    <x v="4"/>
    <x v="0"/>
    <x v="4"/>
    <x v="1"/>
    <x v="1"/>
    <x v="28"/>
    <x v="0"/>
  </r>
  <r>
    <x v="429"/>
    <x v="1"/>
    <x v="1"/>
    <x v="0"/>
    <x v="0"/>
    <x v="1"/>
    <x v="3"/>
    <x v="1"/>
    <x v="1"/>
    <x v="0"/>
    <x v="1"/>
    <x v="1"/>
    <x v="0"/>
    <x v="23"/>
    <x v="0"/>
  </r>
  <r>
    <x v="430"/>
    <x v="1"/>
    <x v="1"/>
    <x v="0"/>
    <x v="0"/>
    <x v="1"/>
    <x v="1"/>
    <x v="2"/>
    <x v="0"/>
    <x v="0"/>
    <x v="2"/>
    <x v="2"/>
    <x v="1"/>
    <x v="10"/>
    <x v="0"/>
  </r>
  <r>
    <x v="431"/>
    <x v="1"/>
    <x v="1"/>
    <x v="2"/>
    <x v="1"/>
    <x v="6"/>
    <x v="3"/>
    <x v="1"/>
    <x v="3"/>
    <x v="0"/>
    <x v="0"/>
    <x v="0"/>
    <x v="1"/>
    <x v="26"/>
    <x v="1"/>
  </r>
  <r>
    <x v="432"/>
    <x v="0"/>
    <x v="0"/>
    <x v="0"/>
    <x v="0"/>
    <x v="15"/>
    <x v="3"/>
    <x v="2"/>
    <x v="4"/>
    <x v="0"/>
    <x v="4"/>
    <x v="4"/>
    <x v="1"/>
    <x v="17"/>
    <x v="1"/>
  </r>
  <r>
    <x v="433"/>
    <x v="1"/>
    <x v="1"/>
    <x v="0"/>
    <x v="0"/>
    <x v="1"/>
    <x v="1"/>
    <x v="1"/>
    <x v="1"/>
    <x v="1"/>
    <x v="1"/>
    <x v="0"/>
    <x v="0"/>
    <x v="22"/>
    <x v="0"/>
  </r>
  <r>
    <x v="434"/>
    <x v="0"/>
    <x v="0"/>
    <x v="0"/>
    <x v="0"/>
    <x v="1"/>
    <x v="1"/>
    <x v="2"/>
    <x v="0"/>
    <x v="0"/>
    <x v="2"/>
    <x v="2"/>
    <x v="1"/>
    <x v="39"/>
    <x v="1"/>
  </r>
  <r>
    <x v="435"/>
    <x v="1"/>
    <x v="1"/>
    <x v="0"/>
    <x v="0"/>
    <x v="4"/>
    <x v="4"/>
    <x v="0"/>
    <x v="1"/>
    <x v="1"/>
    <x v="1"/>
    <x v="1"/>
    <x v="0"/>
    <x v="35"/>
    <x v="0"/>
  </r>
  <r>
    <x v="436"/>
    <x v="0"/>
    <x v="0"/>
    <x v="0"/>
    <x v="0"/>
    <x v="2"/>
    <x v="4"/>
    <x v="2"/>
    <x v="0"/>
    <x v="0"/>
    <x v="2"/>
    <x v="2"/>
    <x v="1"/>
    <x v="5"/>
    <x v="1"/>
  </r>
  <r>
    <x v="437"/>
    <x v="1"/>
    <x v="1"/>
    <x v="0"/>
    <x v="0"/>
    <x v="1"/>
    <x v="1"/>
    <x v="1"/>
    <x v="1"/>
    <x v="0"/>
    <x v="2"/>
    <x v="0"/>
    <x v="0"/>
    <x v="26"/>
    <x v="1"/>
  </r>
  <r>
    <x v="438"/>
    <x v="1"/>
    <x v="1"/>
    <x v="0"/>
    <x v="0"/>
    <x v="2"/>
    <x v="3"/>
    <x v="4"/>
    <x v="0"/>
    <x v="1"/>
    <x v="0"/>
    <x v="0"/>
    <x v="0"/>
    <x v="8"/>
    <x v="1"/>
  </r>
  <r>
    <x v="439"/>
    <x v="0"/>
    <x v="0"/>
    <x v="2"/>
    <x v="1"/>
    <x v="3"/>
    <x v="2"/>
    <x v="1"/>
    <x v="0"/>
    <x v="0"/>
    <x v="2"/>
    <x v="0"/>
    <x v="1"/>
    <x v="20"/>
    <x v="0"/>
  </r>
  <r>
    <x v="440"/>
    <x v="1"/>
    <x v="1"/>
    <x v="2"/>
    <x v="1"/>
    <x v="8"/>
    <x v="3"/>
    <x v="0"/>
    <x v="2"/>
    <x v="1"/>
    <x v="4"/>
    <x v="4"/>
    <x v="1"/>
    <x v="17"/>
    <x v="1"/>
  </r>
  <r>
    <x v="441"/>
    <x v="0"/>
    <x v="0"/>
    <x v="2"/>
    <x v="1"/>
    <x v="3"/>
    <x v="4"/>
    <x v="1"/>
    <x v="0"/>
    <x v="0"/>
    <x v="2"/>
    <x v="2"/>
    <x v="1"/>
    <x v="31"/>
    <x v="1"/>
  </r>
  <r>
    <x v="442"/>
    <x v="1"/>
    <x v="1"/>
    <x v="2"/>
    <x v="1"/>
    <x v="2"/>
    <x v="5"/>
    <x v="4"/>
    <x v="4"/>
    <x v="0"/>
    <x v="0"/>
    <x v="0"/>
    <x v="1"/>
    <x v="4"/>
    <x v="1"/>
  </r>
  <r>
    <x v="443"/>
    <x v="0"/>
    <x v="0"/>
    <x v="0"/>
    <x v="0"/>
    <x v="0"/>
    <x v="0"/>
    <x v="0"/>
    <x v="0"/>
    <x v="0"/>
    <x v="1"/>
    <x v="0"/>
    <x v="0"/>
    <x v="1"/>
    <x v="1"/>
  </r>
  <r>
    <x v="444"/>
    <x v="1"/>
    <x v="1"/>
    <x v="2"/>
    <x v="1"/>
    <x v="1"/>
    <x v="3"/>
    <x v="2"/>
    <x v="3"/>
    <x v="1"/>
    <x v="1"/>
    <x v="3"/>
    <x v="0"/>
    <x v="21"/>
    <x v="0"/>
  </r>
  <r>
    <x v="445"/>
    <x v="0"/>
    <x v="0"/>
    <x v="0"/>
    <x v="0"/>
    <x v="0"/>
    <x v="0"/>
    <x v="0"/>
    <x v="0"/>
    <x v="0"/>
    <x v="1"/>
    <x v="3"/>
    <x v="0"/>
    <x v="21"/>
    <x v="1"/>
  </r>
  <r>
    <x v="446"/>
    <x v="0"/>
    <x v="0"/>
    <x v="0"/>
    <x v="0"/>
    <x v="12"/>
    <x v="3"/>
    <x v="4"/>
    <x v="4"/>
    <x v="0"/>
    <x v="1"/>
    <x v="4"/>
    <x v="1"/>
    <x v="28"/>
    <x v="0"/>
  </r>
  <r>
    <x v="447"/>
    <x v="0"/>
    <x v="0"/>
    <x v="0"/>
    <x v="0"/>
    <x v="0"/>
    <x v="0"/>
    <x v="0"/>
    <x v="0"/>
    <x v="0"/>
    <x v="0"/>
    <x v="3"/>
    <x v="0"/>
    <x v="21"/>
    <x v="1"/>
  </r>
  <r>
    <x v="448"/>
    <x v="0"/>
    <x v="0"/>
    <x v="0"/>
    <x v="0"/>
    <x v="1"/>
    <x v="1"/>
    <x v="4"/>
    <x v="1"/>
    <x v="0"/>
    <x v="0"/>
    <x v="0"/>
    <x v="0"/>
    <x v="30"/>
    <x v="0"/>
  </r>
  <r>
    <x v="449"/>
    <x v="0"/>
    <x v="0"/>
    <x v="0"/>
    <x v="0"/>
    <x v="0"/>
    <x v="0"/>
    <x v="0"/>
    <x v="0"/>
    <x v="0"/>
    <x v="0"/>
    <x v="0"/>
    <x v="0"/>
    <x v="0"/>
    <x v="0"/>
  </r>
  <r>
    <x v="450"/>
    <x v="1"/>
    <x v="1"/>
    <x v="0"/>
    <x v="0"/>
    <x v="4"/>
    <x v="4"/>
    <x v="2"/>
    <x v="3"/>
    <x v="0"/>
    <x v="0"/>
    <x v="0"/>
    <x v="0"/>
    <x v="4"/>
    <x v="1"/>
  </r>
  <r>
    <x v="451"/>
    <x v="0"/>
    <x v="0"/>
    <x v="0"/>
    <x v="0"/>
    <x v="0"/>
    <x v="0"/>
    <x v="0"/>
    <x v="0"/>
    <x v="0"/>
    <x v="0"/>
    <x v="0"/>
    <x v="0"/>
    <x v="3"/>
    <x v="0"/>
  </r>
  <r>
    <x v="452"/>
    <x v="0"/>
    <x v="0"/>
    <x v="0"/>
    <x v="0"/>
    <x v="1"/>
    <x v="4"/>
    <x v="1"/>
    <x v="1"/>
    <x v="1"/>
    <x v="2"/>
    <x v="0"/>
    <x v="1"/>
    <x v="45"/>
    <x v="0"/>
  </r>
  <r>
    <x v="453"/>
    <x v="1"/>
    <x v="1"/>
    <x v="0"/>
    <x v="0"/>
    <x v="3"/>
    <x v="2"/>
    <x v="1"/>
    <x v="0"/>
    <x v="0"/>
    <x v="2"/>
    <x v="2"/>
    <x v="1"/>
    <x v="12"/>
    <x v="0"/>
  </r>
  <r>
    <x v="454"/>
    <x v="1"/>
    <x v="1"/>
    <x v="2"/>
    <x v="1"/>
    <x v="1"/>
    <x v="3"/>
    <x v="2"/>
    <x v="3"/>
    <x v="1"/>
    <x v="1"/>
    <x v="1"/>
    <x v="0"/>
    <x v="17"/>
    <x v="0"/>
  </r>
  <r>
    <x v="455"/>
    <x v="0"/>
    <x v="0"/>
    <x v="0"/>
    <x v="0"/>
    <x v="2"/>
    <x v="5"/>
    <x v="1"/>
    <x v="2"/>
    <x v="1"/>
    <x v="1"/>
    <x v="1"/>
    <x v="0"/>
    <x v="39"/>
    <x v="1"/>
  </r>
  <r>
    <x v="456"/>
    <x v="1"/>
    <x v="1"/>
    <x v="2"/>
    <x v="1"/>
    <x v="7"/>
    <x v="1"/>
    <x v="2"/>
    <x v="2"/>
    <x v="1"/>
    <x v="3"/>
    <x v="2"/>
    <x v="0"/>
    <x v="5"/>
    <x v="0"/>
  </r>
  <r>
    <x v="457"/>
    <x v="0"/>
    <x v="0"/>
    <x v="0"/>
    <x v="0"/>
    <x v="6"/>
    <x v="0"/>
    <x v="1"/>
    <x v="3"/>
    <x v="0"/>
    <x v="0"/>
    <x v="0"/>
    <x v="0"/>
    <x v="27"/>
    <x v="0"/>
  </r>
  <r>
    <x v="458"/>
    <x v="0"/>
    <x v="0"/>
    <x v="2"/>
    <x v="1"/>
    <x v="7"/>
    <x v="3"/>
    <x v="3"/>
    <x v="2"/>
    <x v="0"/>
    <x v="3"/>
    <x v="4"/>
    <x v="1"/>
    <x v="21"/>
    <x v="1"/>
  </r>
  <r>
    <x v="459"/>
    <x v="1"/>
    <x v="1"/>
    <x v="0"/>
    <x v="0"/>
    <x v="2"/>
    <x v="3"/>
    <x v="0"/>
    <x v="2"/>
    <x v="1"/>
    <x v="4"/>
    <x v="4"/>
    <x v="1"/>
    <x v="6"/>
    <x v="0"/>
  </r>
  <r>
    <x v="460"/>
    <x v="1"/>
    <x v="1"/>
    <x v="2"/>
    <x v="1"/>
    <x v="6"/>
    <x v="3"/>
    <x v="3"/>
    <x v="3"/>
    <x v="0"/>
    <x v="2"/>
    <x v="3"/>
    <x v="0"/>
    <x v="23"/>
    <x v="1"/>
  </r>
  <r>
    <x v="461"/>
    <x v="0"/>
    <x v="0"/>
    <x v="0"/>
    <x v="0"/>
    <x v="7"/>
    <x v="0"/>
    <x v="0"/>
    <x v="4"/>
    <x v="0"/>
    <x v="2"/>
    <x v="0"/>
    <x v="1"/>
    <x v="30"/>
    <x v="1"/>
  </r>
  <r>
    <x v="462"/>
    <x v="0"/>
    <x v="0"/>
    <x v="0"/>
    <x v="0"/>
    <x v="0"/>
    <x v="3"/>
    <x v="0"/>
    <x v="1"/>
    <x v="0"/>
    <x v="0"/>
    <x v="0"/>
    <x v="0"/>
    <x v="32"/>
    <x v="1"/>
  </r>
  <r>
    <x v="463"/>
    <x v="1"/>
    <x v="1"/>
    <x v="2"/>
    <x v="1"/>
    <x v="6"/>
    <x v="4"/>
    <x v="2"/>
    <x v="3"/>
    <x v="0"/>
    <x v="1"/>
    <x v="0"/>
    <x v="0"/>
    <x v="8"/>
    <x v="0"/>
  </r>
  <r>
    <x v="464"/>
    <x v="1"/>
    <x v="1"/>
    <x v="0"/>
    <x v="0"/>
    <x v="1"/>
    <x v="1"/>
    <x v="0"/>
    <x v="1"/>
    <x v="0"/>
    <x v="0"/>
    <x v="0"/>
    <x v="0"/>
    <x v="30"/>
    <x v="1"/>
  </r>
  <r>
    <x v="465"/>
    <x v="0"/>
    <x v="0"/>
    <x v="2"/>
    <x v="1"/>
    <x v="0"/>
    <x v="4"/>
    <x v="0"/>
    <x v="4"/>
    <x v="0"/>
    <x v="2"/>
    <x v="0"/>
    <x v="1"/>
    <x v="27"/>
    <x v="0"/>
  </r>
  <r>
    <x v="466"/>
    <x v="1"/>
    <x v="1"/>
    <x v="0"/>
    <x v="0"/>
    <x v="1"/>
    <x v="1"/>
    <x v="0"/>
    <x v="1"/>
    <x v="0"/>
    <x v="0"/>
    <x v="0"/>
    <x v="0"/>
    <x v="15"/>
    <x v="1"/>
  </r>
  <r>
    <x v="467"/>
    <x v="1"/>
    <x v="1"/>
    <x v="2"/>
    <x v="1"/>
    <x v="11"/>
    <x v="0"/>
    <x v="0"/>
    <x v="4"/>
    <x v="1"/>
    <x v="4"/>
    <x v="0"/>
    <x v="1"/>
    <x v="30"/>
    <x v="1"/>
  </r>
  <r>
    <x v="468"/>
    <x v="0"/>
    <x v="0"/>
    <x v="0"/>
    <x v="0"/>
    <x v="2"/>
    <x v="2"/>
    <x v="4"/>
    <x v="4"/>
    <x v="0"/>
    <x v="4"/>
    <x v="0"/>
    <x v="1"/>
    <x v="8"/>
    <x v="0"/>
  </r>
  <r>
    <x v="469"/>
    <x v="0"/>
    <x v="0"/>
    <x v="0"/>
    <x v="0"/>
    <x v="1"/>
    <x v="0"/>
    <x v="0"/>
    <x v="1"/>
    <x v="0"/>
    <x v="0"/>
    <x v="0"/>
    <x v="0"/>
    <x v="27"/>
    <x v="0"/>
  </r>
  <r>
    <x v="470"/>
    <x v="1"/>
    <x v="1"/>
    <x v="2"/>
    <x v="1"/>
    <x v="1"/>
    <x v="3"/>
    <x v="2"/>
    <x v="3"/>
    <x v="1"/>
    <x v="1"/>
    <x v="3"/>
    <x v="0"/>
    <x v="26"/>
    <x v="0"/>
  </r>
  <r>
    <x v="471"/>
    <x v="1"/>
    <x v="1"/>
    <x v="2"/>
    <x v="1"/>
    <x v="3"/>
    <x v="3"/>
    <x v="0"/>
    <x v="2"/>
    <x v="1"/>
    <x v="2"/>
    <x v="2"/>
    <x v="1"/>
    <x v="1"/>
    <x v="1"/>
  </r>
  <r>
    <x v="472"/>
    <x v="1"/>
    <x v="1"/>
    <x v="0"/>
    <x v="0"/>
    <x v="0"/>
    <x v="3"/>
    <x v="4"/>
    <x v="1"/>
    <x v="0"/>
    <x v="0"/>
    <x v="0"/>
    <x v="0"/>
    <x v="13"/>
    <x v="1"/>
  </r>
  <r>
    <x v="473"/>
    <x v="0"/>
    <x v="0"/>
    <x v="0"/>
    <x v="0"/>
    <x v="1"/>
    <x v="3"/>
    <x v="0"/>
    <x v="1"/>
    <x v="0"/>
    <x v="0"/>
    <x v="0"/>
    <x v="0"/>
    <x v="15"/>
    <x v="1"/>
  </r>
  <r>
    <x v="474"/>
    <x v="0"/>
    <x v="0"/>
    <x v="0"/>
    <x v="0"/>
    <x v="8"/>
    <x v="4"/>
    <x v="0"/>
    <x v="2"/>
    <x v="1"/>
    <x v="0"/>
    <x v="0"/>
    <x v="1"/>
    <x v="4"/>
    <x v="1"/>
  </r>
  <r>
    <x v="475"/>
    <x v="0"/>
    <x v="0"/>
    <x v="2"/>
    <x v="1"/>
    <x v="6"/>
    <x v="5"/>
    <x v="2"/>
    <x v="0"/>
    <x v="1"/>
    <x v="2"/>
    <x v="3"/>
    <x v="1"/>
    <x v="2"/>
    <x v="0"/>
  </r>
  <r>
    <x v="476"/>
    <x v="1"/>
    <x v="1"/>
    <x v="0"/>
    <x v="0"/>
    <x v="3"/>
    <x v="3"/>
    <x v="0"/>
    <x v="2"/>
    <x v="0"/>
    <x v="1"/>
    <x v="2"/>
    <x v="1"/>
    <x v="0"/>
    <x v="1"/>
  </r>
  <r>
    <x v="477"/>
    <x v="0"/>
    <x v="0"/>
    <x v="2"/>
    <x v="1"/>
    <x v="3"/>
    <x v="4"/>
    <x v="2"/>
    <x v="0"/>
    <x v="1"/>
    <x v="2"/>
    <x v="3"/>
    <x v="1"/>
    <x v="5"/>
    <x v="1"/>
  </r>
  <r>
    <x v="478"/>
    <x v="0"/>
    <x v="0"/>
    <x v="2"/>
    <x v="1"/>
    <x v="1"/>
    <x v="3"/>
    <x v="0"/>
    <x v="1"/>
    <x v="0"/>
    <x v="0"/>
    <x v="0"/>
    <x v="0"/>
    <x v="11"/>
    <x v="1"/>
  </r>
  <r>
    <x v="479"/>
    <x v="0"/>
    <x v="0"/>
    <x v="2"/>
    <x v="1"/>
    <x v="0"/>
    <x v="0"/>
    <x v="0"/>
    <x v="0"/>
    <x v="0"/>
    <x v="1"/>
    <x v="0"/>
    <x v="0"/>
    <x v="21"/>
    <x v="1"/>
  </r>
  <r>
    <x v="480"/>
    <x v="0"/>
    <x v="0"/>
    <x v="0"/>
    <x v="0"/>
    <x v="8"/>
    <x v="0"/>
    <x v="0"/>
    <x v="2"/>
    <x v="0"/>
    <x v="1"/>
    <x v="2"/>
    <x v="1"/>
    <x v="30"/>
    <x v="0"/>
  </r>
  <r>
    <x v="481"/>
    <x v="1"/>
    <x v="1"/>
    <x v="0"/>
    <x v="0"/>
    <x v="0"/>
    <x v="4"/>
    <x v="1"/>
    <x v="1"/>
    <x v="0"/>
    <x v="0"/>
    <x v="3"/>
    <x v="0"/>
    <x v="6"/>
    <x v="1"/>
  </r>
  <r>
    <x v="482"/>
    <x v="1"/>
    <x v="1"/>
    <x v="2"/>
    <x v="1"/>
    <x v="0"/>
    <x v="3"/>
    <x v="4"/>
    <x v="1"/>
    <x v="1"/>
    <x v="0"/>
    <x v="0"/>
    <x v="0"/>
    <x v="4"/>
    <x v="1"/>
  </r>
  <r>
    <x v="483"/>
    <x v="0"/>
    <x v="0"/>
    <x v="2"/>
    <x v="1"/>
    <x v="4"/>
    <x v="0"/>
    <x v="4"/>
    <x v="1"/>
    <x v="0"/>
    <x v="0"/>
    <x v="0"/>
    <x v="0"/>
    <x v="43"/>
    <x v="0"/>
  </r>
  <r>
    <x v="484"/>
    <x v="1"/>
    <x v="1"/>
    <x v="0"/>
    <x v="0"/>
    <x v="1"/>
    <x v="3"/>
    <x v="1"/>
    <x v="1"/>
    <x v="1"/>
    <x v="1"/>
    <x v="1"/>
    <x v="0"/>
    <x v="23"/>
    <x v="1"/>
  </r>
  <r>
    <x v="485"/>
    <x v="1"/>
    <x v="1"/>
    <x v="2"/>
    <x v="1"/>
    <x v="1"/>
    <x v="4"/>
    <x v="1"/>
    <x v="1"/>
    <x v="0"/>
    <x v="2"/>
    <x v="0"/>
    <x v="0"/>
    <x v="0"/>
    <x v="0"/>
  </r>
  <r>
    <x v="486"/>
    <x v="0"/>
    <x v="0"/>
    <x v="0"/>
    <x v="0"/>
    <x v="8"/>
    <x v="5"/>
    <x v="3"/>
    <x v="0"/>
    <x v="0"/>
    <x v="3"/>
    <x v="4"/>
    <x v="0"/>
    <x v="7"/>
    <x v="0"/>
  </r>
  <r>
    <x v="487"/>
    <x v="0"/>
    <x v="0"/>
    <x v="2"/>
    <x v="1"/>
    <x v="0"/>
    <x v="3"/>
    <x v="0"/>
    <x v="1"/>
    <x v="0"/>
    <x v="0"/>
    <x v="0"/>
    <x v="0"/>
    <x v="32"/>
    <x v="0"/>
  </r>
  <r>
    <x v="488"/>
    <x v="1"/>
    <x v="1"/>
    <x v="0"/>
    <x v="0"/>
    <x v="4"/>
    <x v="3"/>
    <x v="3"/>
    <x v="3"/>
    <x v="0"/>
    <x v="2"/>
    <x v="3"/>
    <x v="0"/>
    <x v="17"/>
    <x v="0"/>
  </r>
  <r>
    <x v="489"/>
    <x v="0"/>
    <x v="0"/>
    <x v="2"/>
    <x v="1"/>
    <x v="6"/>
    <x v="3"/>
    <x v="3"/>
    <x v="3"/>
    <x v="0"/>
    <x v="2"/>
    <x v="0"/>
    <x v="0"/>
    <x v="21"/>
    <x v="0"/>
  </r>
  <r>
    <x v="490"/>
    <x v="0"/>
    <x v="0"/>
    <x v="2"/>
    <x v="1"/>
    <x v="10"/>
    <x v="5"/>
    <x v="0"/>
    <x v="2"/>
    <x v="0"/>
    <x v="0"/>
    <x v="1"/>
    <x v="2"/>
    <x v="30"/>
    <x v="0"/>
  </r>
  <r>
    <x v="491"/>
    <x v="0"/>
    <x v="0"/>
    <x v="2"/>
    <x v="1"/>
    <x v="3"/>
    <x v="4"/>
    <x v="3"/>
    <x v="0"/>
    <x v="0"/>
    <x v="2"/>
    <x v="2"/>
    <x v="2"/>
    <x v="28"/>
    <x v="0"/>
  </r>
  <r>
    <x v="492"/>
    <x v="1"/>
    <x v="1"/>
    <x v="0"/>
    <x v="0"/>
    <x v="0"/>
    <x v="1"/>
    <x v="1"/>
    <x v="1"/>
    <x v="0"/>
    <x v="1"/>
    <x v="3"/>
    <x v="2"/>
    <x v="23"/>
    <x v="1"/>
  </r>
  <r>
    <x v="493"/>
    <x v="1"/>
    <x v="1"/>
    <x v="2"/>
    <x v="1"/>
    <x v="3"/>
    <x v="2"/>
    <x v="0"/>
    <x v="4"/>
    <x v="0"/>
    <x v="4"/>
    <x v="4"/>
    <x v="2"/>
    <x v="2"/>
    <x v="1"/>
  </r>
  <r>
    <x v="494"/>
    <x v="0"/>
    <x v="0"/>
    <x v="2"/>
    <x v="1"/>
    <x v="3"/>
    <x v="5"/>
    <x v="2"/>
    <x v="2"/>
    <x v="0"/>
    <x v="0"/>
    <x v="2"/>
    <x v="2"/>
    <x v="36"/>
    <x v="0"/>
  </r>
  <r>
    <x v="495"/>
    <x v="0"/>
    <x v="0"/>
    <x v="2"/>
    <x v="1"/>
    <x v="10"/>
    <x v="4"/>
    <x v="1"/>
    <x v="2"/>
    <x v="0"/>
    <x v="2"/>
    <x v="4"/>
    <x v="2"/>
    <x v="16"/>
    <x v="0"/>
  </r>
  <r>
    <x v="496"/>
    <x v="1"/>
    <x v="1"/>
    <x v="0"/>
    <x v="0"/>
    <x v="10"/>
    <x v="1"/>
    <x v="0"/>
    <x v="0"/>
    <x v="0"/>
    <x v="1"/>
    <x v="1"/>
    <x v="2"/>
    <x v="8"/>
    <x v="1"/>
  </r>
  <r>
    <x v="497"/>
    <x v="1"/>
    <x v="1"/>
    <x v="0"/>
    <x v="0"/>
    <x v="3"/>
    <x v="0"/>
    <x v="4"/>
    <x v="2"/>
    <x v="0"/>
    <x v="0"/>
    <x v="1"/>
    <x v="2"/>
    <x v="17"/>
    <x v="1"/>
  </r>
  <r>
    <x v="498"/>
    <x v="0"/>
    <x v="0"/>
    <x v="2"/>
    <x v="1"/>
    <x v="2"/>
    <x v="0"/>
    <x v="1"/>
    <x v="0"/>
    <x v="0"/>
    <x v="1"/>
    <x v="1"/>
    <x v="2"/>
    <x v="28"/>
    <x v="1"/>
  </r>
  <r>
    <x v="499"/>
    <x v="1"/>
    <x v="1"/>
    <x v="0"/>
    <x v="0"/>
    <x v="0"/>
    <x v="3"/>
    <x v="2"/>
    <x v="0"/>
    <x v="1"/>
    <x v="2"/>
    <x v="3"/>
    <x v="2"/>
    <x v="23"/>
    <x v="1"/>
  </r>
  <r>
    <x v="500"/>
    <x v="0"/>
    <x v="0"/>
    <x v="2"/>
    <x v="1"/>
    <x v="10"/>
    <x v="2"/>
    <x v="0"/>
    <x v="2"/>
    <x v="0"/>
    <x v="1"/>
    <x v="1"/>
    <x v="2"/>
    <x v="15"/>
    <x v="0"/>
  </r>
  <r>
    <x v="501"/>
    <x v="0"/>
    <x v="0"/>
    <x v="0"/>
    <x v="0"/>
    <x v="14"/>
    <x v="3"/>
    <x v="4"/>
    <x v="0"/>
    <x v="0"/>
    <x v="0"/>
    <x v="0"/>
    <x v="2"/>
    <x v="17"/>
    <x v="0"/>
  </r>
  <r>
    <x v="502"/>
    <x v="0"/>
    <x v="0"/>
    <x v="2"/>
    <x v="1"/>
    <x v="0"/>
    <x v="3"/>
    <x v="1"/>
    <x v="0"/>
    <x v="0"/>
    <x v="1"/>
    <x v="2"/>
    <x v="2"/>
    <x v="19"/>
    <x v="0"/>
  </r>
  <r>
    <x v="503"/>
    <x v="0"/>
    <x v="0"/>
    <x v="0"/>
    <x v="0"/>
    <x v="12"/>
    <x v="0"/>
    <x v="0"/>
    <x v="4"/>
    <x v="0"/>
    <x v="3"/>
    <x v="1"/>
    <x v="2"/>
    <x v="20"/>
    <x v="1"/>
  </r>
  <r>
    <x v="504"/>
    <x v="0"/>
    <x v="0"/>
    <x v="2"/>
    <x v="1"/>
    <x v="3"/>
    <x v="4"/>
    <x v="0"/>
    <x v="0"/>
    <x v="0"/>
    <x v="1"/>
    <x v="1"/>
    <x v="2"/>
    <x v="13"/>
    <x v="1"/>
  </r>
  <r>
    <x v="505"/>
    <x v="0"/>
    <x v="0"/>
    <x v="2"/>
    <x v="1"/>
    <x v="11"/>
    <x v="5"/>
    <x v="1"/>
    <x v="2"/>
    <x v="0"/>
    <x v="3"/>
    <x v="0"/>
    <x v="2"/>
    <x v="8"/>
    <x v="0"/>
  </r>
  <r>
    <x v="506"/>
    <x v="0"/>
    <x v="0"/>
    <x v="0"/>
    <x v="0"/>
    <x v="3"/>
    <x v="5"/>
    <x v="0"/>
    <x v="2"/>
    <x v="0"/>
    <x v="2"/>
    <x v="1"/>
    <x v="2"/>
    <x v="0"/>
    <x v="1"/>
  </r>
  <r>
    <x v="507"/>
    <x v="0"/>
    <x v="0"/>
    <x v="0"/>
    <x v="0"/>
    <x v="0"/>
    <x v="0"/>
    <x v="1"/>
    <x v="1"/>
    <x v="0"/>
    <x v="1"/>
    <x v="3"/>
    <x v="2"/>
    <x v="36"/>
    <x v="1"/>
  </r>
  <r>
    <x v="508"/>
    <x v="0"/>
    <x v="0"/>
    <x v="2"/>
    <x v="1"/>
    <x v="10"/>
    <x v="3"/>
    <x v="1"/>
    <x v="0"/>
    <x v="1"/>
    <x v="2"/>
    <x v="3"/>
    <x v="2"/>
    <x v="19"/>
    <x v="0"/>
  </r>
  <r>
    <x v="509"/>
    <x v="0"/>
    <x v="0"/>
    <x v="2"/>
    <x v="1"/>
    <x v="2"/>
    <x v="1"/>
    <x v="0"/>
    <x v="2"/>
    <x v="0"/>
    <x v="1"/>
    <x v="1"/>
    <x v="2"/>
    <x v="28"/>
    <x v="1"/>
  </r>
  <r>
    <x v="510"/>
    <x v="1"/>
    <x v="1"/>
    <x v="2"/>
    <x v="1"/>
    <x v="3"/>
    <x v="3"/>
    <x v="0"/>
    <x v="2"/>
    <x v="1"/>
    <x v="1"/>
    <x v="1"/>
    <x v="2"/>
    <x v="34"/>
    <x v="1"/>
  </r>
  <r>
    <x v="511"/>
    <x v="1"/>
    <x v="1"/>
    <x v="2"/>
    <x v="1"/>
    <x v="2"/>
    <x v="5"/>
    <x v="0"/>
    <x v="4"/>
    <x v="0"/>
    <x v="0"/>
    <x v="2"/>
    <x v="2"/>
    <x v="29"/>
    <x v="1"/>
  </r>
  <r>
    <x v="512"/>
    <x v="0"/>
    <x v="0"/>
    <x v="0"/>
    <x v="0"/>
    <x v="10"/>
    <x v="0"/>
    <x v="1"/>
    <x v="0"/>
    <x v="0"/>
    <x v="1"/>
    <x v="0"/>
    <x v="2"/>
    <x v="12"/>
    <x v="1"/>
  </r>
  <r>
    <x v="513"/>
    <x v="1"/>
    <x v="1"/>
    <x v="0"/>
    <x v="0"/>
    <x v="10"/>
    <x v="5"/>
    <x v="4"/>
    <x v="4"/>
    <x v="0"/>
    <x v="2"/>
    <x v="4"/>
    <x v="2"/>
    <x v="33"/>
    <x v="1"/>
  </r>
  <r>
    <x v="514"/>
    <x v="1"/>
    <x v="1"/>
    <x v="2"/>
    <x v="1"/>
    <x v="0"/>
    <x v="3"/>
    <x v="0"/>
    <x v="2"/>
    <x v="1"/>
    <x v="1"/>
    <x v="1"/>
    <x v="2"/>
    <x v="12"/>
    <x v="0"/>
  </r>
  <r>
    <x v="515"/>
    <x v="0"/>
    <x v="0"/>
    <x v="0"/>
    <x v="0"/>
    <x v="3"/>
    <x v="2"/>
    <x v="0"/>
    <x v="2"/>
    <x v="0"/>
    <x v="2"/>
    <x v="1"/>
    <x v="2"/>
    <x v="15"/>
    <x v="0"/>
  </r>
  <r>
    <x v="516"/>
    <x v="0"/>
    <x v="0"/>
    <x v="0"/>
    <x v="0"/>
    <x v="10"/>
    <x v="4"/>
    <x v="2"/>
    <x v="2"/>
    <x v="0"/>
    <x v="2"/>
    <x v="2"/>
    <x v="2"/>
    <x v="38"/>
    <x v="0"/>
  </r>
  <r>
    <x v="517"/>
    <x v="1"/>
    <x v="1"/>
    <x v="2"/>
    <x v="1"/>
    <x v="10"/>
    <x v="1"/>
    <x v="0"/>
    <x v="2"/>
    <x v="1"/>
    <x v="0"/>
    <x v="0"/>
    <x v="2"/>
    <x v="15"/>
    <x v="1"/>
  </r>
  <r>
    <x v="518"/>
    <x v="0"/>
    <x v="0"/>
    <x v="0"/>
    <x v="0"/>
    <x v="2"/>
    <x v="3"/>
    <x v="0"/>
    <x v="4"/>
    <x v="0"/>
    <x v="1"/>
    <x v="3"/>
    <x v="2"/>
    <x v="17"/>
    <x v="1"/>
  </r>
  <r>
    <x v="519"/>
    <x v="0"/>
    <x v="0"/>
    <x v="2"/>
    <x v="1"/>
    <x v="2"/>
    <x v="2"/>
    <x v="0"/>
    <x v="4"/>
    <x v="0"/>
    <x v="2"/>
    <x v="3"/>
    <x v="2"/>
    <x v="46"/>
    <x v="0"/>
  </r>
  <r>
    <x v="520"/>
    <x v="1"/>
    <x v="1"/>
    <x v="2"/>
    <x v="1"/>
    <x v="11"/>
    <x v="0"/>
    <x v="1"/>
    <x v="2"/>
    <x v="1"/>
    <x v="4"/>
    <x v="3"/>
    <x v="2"/>
    <x v="20"/>
    <x v="0"/>
  </r>
  <r>
    <x v="521"/>
    <x v="1"/>
    <x v="1"/>
    <x v="2"/>
    <x v="1"/>
    <x v="0"/>
    <x v="5"/>
    <x v="2"/>
    <x v="2"/>
    <x v="0"/>
    <x v="2"/>
    <x v="4"/>
    <x v="2"/>
    <x v="24"/>
    <x v="1"/>
  </r>
  <r>
    <x v="522"/>
    <x v="1"/>
    <x v="1"/>
    <x v="2"/>
    <x v="1"/>
    <x v="10"/>
    <x v="1"/>
    <x v="0"/>
    <x v="2"/>
    <x v="1"/>
    <x v="1"/>
    <x v="0"/>
    <x v="2"/>
    <x v="15"/>
    <x v="1"/>
  </r>
  <r>
    <x v="523"/>
    <x v="0"/>
    <x v="0"/>
    <x v="2"/>
    <x v="1"/>
    <x v="2"/>
    <x v="1"/>
    <x v="1"/>
    <x v="2"/>
    <x v="1"/>
    <x v="2"/>
    <x v="0"/>
    <x v="2"/>
    <x v="38"/>
    <x v="1"/>
  </r>
  <r>
    <x v="524"/>
    <x v="1"/>
    <x v="1"/>
    <x v="0"/>
    <x v="0"/>
    <x v="2"/>
    <x v="5"/>
    <x v="4"/>
    <x v="4"/>
    <x v="0"/>
    <x v="2"/>
    <x v="2"/>
    <x v="2"/>
    <x v="41"/>
    <x v="0"/>
  </r>
  <r>
    <x v="525"/>
    <x v="1"/>
    <x v="1"/>
    <x v="2"/>
    <x v="1"/>
    <x v="10"/>
    <x v="2"/>
    <x v="0"/>
    <x v="4"/>
    <x v="0"/>
    <x v="4"/>
    <x v="4"/>
    <x v="2"/>
    <x v="14"/>
    <x v="1"/>
  </r>
  <r>
    <x v="526"/>
    <x v="0"/>
    <x v="0"/>
    <x v="0"/>
    <x v="0"/>
    <x v="15"/>
    <x v="0"/>
    <x v="0"/>
    <x v="4"/>
    <x v="0"/>
    <x v="2"/>
    <x v="3"/>
    <x v="2"/>
    <x v="20"/>
    <x v="0"/>
  </r>
  <r>
    <x v="527"/>
    <x v="0"/>
    <x v="0"/>
    <x v="2"/>
    <x v="1"/>
    <x v="14"/>
    <x v="0"/>
    <x v="0"/>
    <x v="0"/>
    <x v="0"/>
    <x v="0"/>
    <x v="0"/>
    <x v="2"/>
    <x v="4"/>
    <x v="0"/>
  </r>
  <r>
    <x v="528"/>
    <x v="1"/>
    <x v="1"/>
    <x v="0"/>
    <x v="0"/>
    <x v="1"/>
    <x v="3"/>
    <x v="1"/>
    <x v="0"/>
    <x v="0"/>
    <x v="1"/>
    <x v="2"/>
    <x v="2"/>
    <x v="26"/>
    <x v="0"/>
  </r>
  <r>
    <x v="529"/>
    <x v="0"/>
    <x v="0"/>
    <x v="2"/>
    <x v="1"/>
    <x v="10"/>
    <x v="4"/>
    <x v="1"/>
    <x v="2"/>
    <x v="0"/>
    <x v="1"/>
    <x v="4"/>
    <x v="2"/>
    <x v="42"/>
    <x v="1"/>
  </r>
  <r>
    <x v="530"/>
    <x v="0"/>
    <x v="0"/>
    <x v="2"/>
    <x v="1"/>
    <x v="10"/>
    <x v="3"/>
    <x v="1"/>
    <x v="0"/>
    <x v="0"/>
    <x v="1"/>
    <x v="2"/>
    <x v="2"/>
    <x v="40"/>
    <x v="1"/>
  </r>
  <r>
    <x v="531"/>
    <x v="1"/>
    <x v="1"/>
    <x v="2"/>
    <x v="1"/>
    <x v="1"/>
    <x v="3"/>
    <x v="3"/>
    <x v="1"/>
    <x v="0"/>
    <x v="2"/>
    <x v="2"/>
    <x v="2"/>
    <x v="26"/>
    <x v="0"/>
  </r>
  <r>
    <x v="532"/>
    <x v="1"/>
    <x v="1"/>
    <x v="0"/>
    <x v="0"/>
    <x v="10"/>
    <x v="0"/>
    <x v="0"/>
    <x v="2"/>
    <x v="1"/>
    <x v="1"/>
    <x v="0"/>
    <x v="2"/>
    <x v="20"/>
    <x v="1"/>
  </r>
  <r>
    <x v="533"/>
    <x v="0"/>
    <x v="0"/>
    <x v="2"/>
    <x v="1"/>
    <x v="10"/>
    <x v="1"/>
    <x v="0"/>
    <x v="4"/>
    <x v="0"/>
    <x v="2"/>
    <x v="4"/>
    <x v="2"/>
    <x v="29"/>
    <x v="0"/>
  </r>
  <r>
    <x v="534"/>
    <x v="0"/>
    <x v="0"/>
    <x v="2"/>
    <x v="1"/>
    <x v="0"/>
    <x v="5"/>
    <x v="2"/>
    <x v="2"/>
    <x v="0"/>
    <x v="2"/>
    <x v="4"/>
    <x v="2"/>
    <x v="46"/>
    <x v="0"/>
  </r>
  <r>
    <x v="535"/>
    <x v="0"/>
    <x v="0"/>
    <x v="2"/>
    <x v="1"/>
    <x v="14"/>
    <x v="1"/>
    <x v="0"/>
    <x v="0"/>
    <x v="0"/>
    <x v="4"/>
    <x v="4"/>
    <x v="2"/>
    <x v="3"/>
    <x v="0"/>
  </r>
  <r>
    <x v="536"/>
    <x v="1"/>
    <x v="1"/>
    <x v="0"/>
    <x v="0"/>
    <x v="2"/>
    <x v="1"/>
    <x v="0"/>
    <x v="0"/>
    <x v="0"/>
    <x v="1"/>
    <x v="0"/>
    <x v="2"/>
    <x v="3"/>
    <x v="1"/>
  </r>
  <r>
    <x v="537"/>
    <x v="0"/>
    <x v="0"/>
    <x v="0"/>
    <x v="0"/>
    <x v="0"/>
    <x v="0"/>
    <x v="1"/>
    <x v="1"/>
    <x v="0"/>
    <x v="1"/>
    <x v="3"/>
    <x v="2"/>
    <x v="38"/>
    <x v="1"/>
  </r>
  <r>
    <x v="538"/>
    <x v="0"/>
    <x v="0"/>
    <x v="0"/>
    <x v="0"/>
    <x v="2"/>
    <x v="5"/>
    <x v="0"/>
    <x v="4"/>
    <x v="0"/>
    <x v="0"/>
    <x v="0"/>
    <x v="2"/>
    <x v="0"/>
    <x v="0"/>
  </r>
  <r>
    <x v="539"/>
    <x v="1"/>
    <x v="1"/>
    <x v="0"/>
    <x v="0"/>
    <x v="3"/>
    <x v="3"/>
    <x v="0"/>
    <x v="2"/>
    <x v="1"/>
    <x v="1"/>
    <x v="1"/>
    <x v="2"/>
    <x v="34"/>
    <x v="1"/>
  </r>
  <r>
    <x v="540"/>
    <x v="1"/>
    <x v="1"/>
    <x v="0"/>
    <x v="0"/>
    <x v="3"/>
    <x v="1"/>
    <x v="4"/>
    <x v="4"/>
    <x v="0"/>
    <x v="2"/>
    <x v="3"/>
    <x v="2"/>
    <x v="31"/>
    <x v="0"/>
  </r>
  <r>
    <x v="541"/>
    <x v="0"/>
    <x v="0"/>
    <x v="2"/>
    <x v="1"/>
    <x v="14"/>
    <x v="0"/>
    <x v="4"/>
    <x v="0"/>
    <x v="0"/>
    <x v="0"/>
    <x v="3"/>
    <x v="2"/>
    <x v="17"/>
    <x v="0"/>
  </r>
  <r>
    <x v="542"/>
    <x v="0"/>
    <x v="0"/>
    <x v="2"/>
    <x v="1"/>
    <x v="0"/>
    <x v="3"/>
    <x v="2"/>
    <x v="0"/>
    <x v="0"/>
    <x v="2"/>
    <x v="2"/>
    <x v="2"/>
    <x v="19"/>
    <x v="0"/>
  </r>
  <r>
    <x v="543"/>
    <x v="0"/>
    <x v="0"/>
    <x v="0"/>
    <x v="0"/>
    <x v="3"/>
    <x v="4"/>
    <x v="2"/>
    <x v="2"/>
    <x v="0"/>
    <x v="2"/>
    <x v="1"/>
    <x v="2"/>
    <x v="39"/>
    <x v="0"/>
  </r>
  <r>
    <x v="544"/>
    <x v="1"/>
    <x v="1"/>
    <x v="2"/>
    <x v="1"/>
    <x v="7"/>
    <x v="4"/>
    <x v="0"/>
    <x v="4"/>
    <x v="1"/>
    <x v="3"/>
    <x v="3"/>
    <x v="2"/>
    <x v="8"/>
    <x v="0"/>
  </r>
  <r>
    <x v="545"/>
    <x v="1"/>
    <x v="1"/>
    <x v="2"/>
    <x v="1"/>
    <x v="10"/>
    <x v="3"/>
    <x v="1"/>
    <x v="0"/>
    <x v="1"/>
    <x v="2"/>
    <x v="3"/>
    <x v="2"/>
    <x v="19"/>
    <x v="0"/>
  </r>
  <r>
    <x v="546"/>
    <x v="0"/>
    <x v="0"/>
    <x v="2"/>
    <x v="1"/>
    <x v="10"/>
    <x v="5"/>
    <x v="0"/>
    <x v="2"/>
    <x v="0"/>
    <x v="2"/>
    <x v="1"/>
    <x v="2"/>
    <x v="1"/>
    <x v="1"/>
  </r>
  <r>
    <x v="547"/>
    <x v="0"/>
    <x v="0"/>
    <x v="2"/>
    <x v="1"/>
    <x v="10"/>
    <x v="4"/>
    <x v="2"/>
    <x v="2"/>
    <x v="0"/>
    <x v="2"/>
    <x v="1"/>
    <x v="2"/>
    <x v="10"/>
    <x v="1"/>
  </r>
  <r>
    <x v="548"/>
    <x v="1"/>
    <x v="1"/>
    <x v="0"/>
    <x v="0"/>
    <x v="2"/>
    <x v="5"/>
    <x v="4"/>
    <x v="0"/>
    <x v="1"/>
    <x v="0"/>
    <x v="0"/>
    <x v="2"/>
    <x v="28"/>
    <x v="0"/>
  </r>
  <r>
    <x v="549"/>
    <x v="0"/>
    <x v="0"/>
    <x v="0"/>
    <x v="0"/>
    <x v="12"/>
    <x v="1"/>
    <x v="0"/>
    <x v="4"/>
    <x v="0"/>
    <x v="4"/>
    <x v="0"/>
    <x v="2"/>
    <x v="12"/>
    <x v="1"/>
  </r>
  <r>
    <x v="550"/>
    <x v="1"/>
    <x v="1"/>
    <x v="0"/>
    <x v="0"/>
    <x v="3"/>
    <x v="3"/>
    <x v="0"/>
    <x v="2"/>
    <x v="1"/>
    <x v="1"/>
    <x v="0"/>
    <x v="1"/>
    <x v="0"/>
    <x v="1"/>
  </r>
  <r>
    <x v="551"/>
    <x v="0"/>
    <x v="0"/>
    <x v="0"/>
    <x v="0"/>
    <x v="14"/>
    <x v="5"/>
    <x v="0"/>
    <x v="4"/>
    <x v="0"/>
    <x v="2"/>
    <x v="4"/>
    <x v="2"/>
    <x v="18"/>
    <x v="0"/>
  </r>
  <r>
    <x v="552"/>
    <x v="1"/>
    <x v="1"/>
    <x v="2"/>
    <x v="1"/>
    <x v="10"/>
    <x v="1"/>
    <x v="2"/>
    <x v="2"/>
    <x v="0"/>
    <x v="2"/>
    <x v="4"/>
    <x v="2"/>
    <x v="9"/>
    <x v="1"/>
  </r>
  <r>
    <x v="553"/>
    <x v="0"/>
    <x v="0"/>
    <x v="2"/>
    <x v="1"/>
    <x v="0"/>
    <x v="1"/>
    <x v="1"/>
    <x v="2"/>
    <x v="1"/>
    <x v="2"/>
    <x v="2"/>
    <x v="2"/>
    <x v="49"/>
    <x v="1"/>
  </r>
  <r>
    <x v="554"/>
    <x v="0"/>
    <x v="0"/>
    <x v="0"/>
    <x v="0"/>
    <x v="10"/>
    <x v="4"/>
    <x v="4"/>
    <x v="2"/>
    <x v="0"/>
    <x v="0"/>
    <x v="1"/>
    <x v="2"/>
    <x v="8"/>
    <x v="1"/>
  </r>
  <r>
    <x v="555"/>
    <x v="1"/>
    <x v="1"/>
    <x v="2"/>
    <x v="1"/>
    <x v="14"/>
    <x v="3"/>
    <x v="1"/>
    <x v="0"/>
    <x v="1"/>
    <x v="1"/>
    <x v="1"/>
    <x v="2"/>
    <x v="32"/>
    <x v="1"/>
  </r>
  <r>
    <x v="556"/>
    <x v="0"/>
    <x v="0"/>
    <x v="2"/>
    <x v="1"/>
    <x v="2"/>
    <x v="5"/>
    <x v="0"/>
    <x v="4"/>
    <x v="0"/>
    <x v="0"/>
    <x v="3"/>
    <x v="2"/>
    <x v="0"/>
    <x v="0"/>
  </r>
  <r>
    <x v="557"/>
    <x v="0"/>
    <x v="0"/>
    <x v="0"/>
    <x v="0"/>
    <x v="0"/>
    <x v="1"/>
    <x v="1"/>
    <x v="1"/>
    <x v="0"/>
    <x v="0"/>
    <x v="3"/>
    <x v="2"/>
    <x v="23"/>
    <x v="0"/>
  </r>
  <r>
    <x v="558"/>
    <x v="0"/>
    <x v="0"/>
    <x v="0"/>
    <x v="0"/>
    <x v="14"/>
    <x v="1"/>
    <x v="0"/>
    <x v="0"/>
    <x v="0"/>
    <x v="2"/>
    <x v="0"/>
    <x v="2"/>
    <x v="3"/>
    <x v="0"/>
  </r>
  <r>
    <x v="559"/>
    <x v="1"/>
    <x v="1"/>
    <x v="0"/>
    <x v="0"/>
    <x v="10"/>
    <x v="4"/>
    <x v="0"/>
    <x v="4"/>
    <x v="0"/>
    <x v="0"/>
    <x v="4"/>
    <x v="2"/>
    <x v="7"/>
    <x v="0"/>
  </r>
  <r>
    <x v="560"/>
    <x v="0"/>
    <x v="0"/>
    <x v="0"/>
    <x v="0"/>
    <x v="10"/>
    <x v="3"/>
    <x v="4"/>
    <x v="2"/>
    <x v="0"/>
    <x v="0"/>
    <x v="0"/>
    <x v="2"/>
    <x v="8"/>
    <x v="0"/>
  </r>
  <r>
    <x v="561"/>
    <x v="0"/>
    <x v="0"/>
    <x v="0"/>
    <x v="0"/>
    <x v="6"/>
    <x v="4"/>
    <x v="3"/>
    <x v="1"/>
    <x v="1"/>
    <x v="0"/>
    <x v="0"/>
    <x v="2"/>
    <x v="28"/>
    <x v="0"/>
  </r>
  <r>
    <x v="562"/>
    <x v="0"/>
    <x v="0"/>
    <x v="0"/>
    <x v="0"/>
    <x v="3"/>
    <x v="4"/>
    <x v="4"/>
    <x v="2"/>
    <x v="0"/>
    <x v="0"/>
    <x v="1"/>
    <x v="2"/>
    <x v="17"/>
    <x v="1"/>
  </r>
  <r>
    <x v="563"/>
    <x v="1"/>
    <x v="1"/>
    <x v="0"/>
    <x v="0"/>
    <x v="1"/>
    <x v="3"/>
    <x v="1"/>
    <x v="0"/>
    <x v="0"/>
    <x v="1"/>
    <x v="2"/>
    <x v="2"/>
    <x v="26"/>
    <x v="0"/>
  </r>
  <r>
    <x v="564"/>
    <x v="1"/>
    <x v="1"/>
    <x v="2"/>
    <x v="1"/>
    <x v="1"/>
    <x v="3"/>
    <x v="1"/>
    <x v="0"/>
    <x v="0"/>
    <x v="1"/>
    <x v="2"/>
    <x v="2"/>
    <x v="40"/>
    <x v="0"/>
  </r>
  <r>
    <x v="565"/>
    <x v="0"/>
    <x v="0"/>
    <x v="2"/>
    <x v="1"/>
    <x v="0"/>
    <x v="1"/>
    <x v="1"/>
    <x v="2"/>
    <x v="1"/>
    <x v="2"/>
    <x v="2"/>
    <x v="2"/>
    <x v="9"/>
    <x v="1"/>
  </r>
  <r>
    <x v="566"/>
    <x v="0"/>
    <x v="0"/>
    <x v="0"/>
    <x v="0"/>
    <x v="10"/>
    <x v="4"/>
    <x v="4"/>
    <x v="4"/>
    <x v="0"/>
    <x v="2"/>
    <x v="2"/>
    <x v="2"/>
    <x v="43"/>
    <x v="0"/>
  </r>
  <r>
    <x v="567"/>
    <x v="0"/>
    <x v="0"/>
    <x v="2"/>
    <x v="1"/>
    <x v="0"/>
    <x v="0"/>
    <x v="1"/>
    <x v="1"/>
    <x v="0"/>
    <x v="1"/>
    <x v="3"/>
    <x v="2"/>
    <x v="28"/>
    <x v="1"/>
  </r>
  <r>
    <x v="568"/>
    <x v="0"/>
    <x v="0"/>
    <x v="2"/>
    <x v="1"/>
    <x v="3"/>
    <x v="0"/>
    <x v="1"/>
    <x v="0"/>
    <x v="0"/>
    <x v="1"/>
    <x v="1"/>
    <x v="2"/>
    <x v="20"/>
    <x v="1"/>
  </r>
  <r>
    <x v="569"/>
    <x v="1"/>
    <x v="1"/>
    <x v="2"/>
    <x v="1"/>
    <x v="14"/>
    <x v="1"/>
    <x v="4"/>
    <x v="4"/>
    <x v="0"/>
    <x v="2"/>
    <x v="4"/>
    <x v="2"/>
    <x v="45"/>
    <x v="0"/>
  </r>
  <r>
    <x v="570"/>
    <x v="0"/>
    <x v="0"/>
    <x v="2"/>
    <x v="1"/>
    <x v="3"/>
    <x v="1"/>
    <x v="3"/>
    <x v="0"/>
    <x v="0"/>
    <x v="2"/>
    <x v="2"/>
    <x v="2"/>
    <x v="31"/>
    <x v="0"/>
  </r>
  <r>
    <x v="571"/>
    <x v="0"/>
    <x v="0"/>
    <x v="2"/>
    <x v="1"/>
    <x v="0"/>
    <x v="4"/>
    <x v="3"/>
    <x v="0"/>
    <x v="0"/>
    <x v="2"/>
    <x v="1"/>
    <x v="2"/>
    <x v="10"/>
    <x v="0"/>
  </r>
  <r>
    <x v="572"/>
    <x v="1"/>
    <x v="1"/>
    <x v="2"/>
    <x v="1"/>
    <x v="1"/>
    <x v="3"/>
    <x v="2"/>
    <x v="0"/>
    <x v="0"/>
    <x v="2"/>
    <x v="2"/>
    <x v="2"/>
    <x v="25"/>
    <x v="0"/>
  </r>
  <r>
    <x v="573"/>
    <x v="0"/>
    <x v="0"/>
    <x v="2"/>
    <x v="1"/>
    <x v="10"/>
    <x v="1"/>
    <x v="4"/>
    <x v="4"/>
    <x v="0"/>
    <x v="2"/>
    <x v="3"/>
    <x v="2"/>
    <x v="18"/>
    <x v="0"/>
  </r>
  <r>
    <x v="574"/>
    <x v="1"/>
    <x v="1"/>
    <x v="0"/>
    <x v="0"/>
    <x v="2"/>
    <x v="3"/>
    <x v="0"/>
    <x v="4"/>
    <x v="0"/>
    <x v="1"/>
    <x v="3"/>
    <x v="2"/>
    <x v="17"/>
    <x v="1"/>
  </r>
  <r>
    <x v="575"/>
    <x v="1"/>
    <x v="1"/>
    <x v="2"/>
    <x v="1"/>
    <x v="10"/>
    <x v="4"/>
    <x v="1"/>
    <x v="2"/>
    <x v="0"/>
    <x v="1"/>
    <x v="4"/>
    <x v="2"/>
    <x v="16"/>
    <x v="0"/>
  </r>
  <r>
    <x v="576"/>
    <x v="1"/>
    <x v="1"/>
    <x v="0"/>
    <x v="0"/>
    <x v="0"/>
    <x v="3"/>
    <x v="2"/>
    <x v="0"/>
    <x v="0"/>
    <x v="1"/>
    <x v="2"/>
    <x v="2"/>
    <x v="23"/>
    <x v="0"/>
  </r>
  <r>
    <x v="577"/>
    <x v="0"/>
    <x v="0"/>
    <x v="2"/>
    <x v="1"/>
    <x v="7"/>
    <x v="0"/>
    <x v="0"/>
    <x v="4"/>
    <x v="0"/>
    <x v="3"/>
    <x v="0"/>
    <x v="2"/>
    <x v="13"/>
    <x v="0"/>
  </r>
  <r>
    <x v="578"/>
    <x v="0"/>
    <x v="0"/>
    <x v="2"/>
    <x v="1"/>
    <x v="10"/>
    <x v="5"/>
    <x v="0"/>
    <x v="4"/>
    <x v="0"/>
    <x v="2"/>
    <x v="1"/>
    <x v="2"/>
    <x v="14"/>
    <x v="0"/>
  </r>
  <r>
    <x v="579"/>
    <x v="1"/>
    <x v="1"/>
    <x v="0"/>
    <x v="0"/>
    <x v="0"/>
    <x v="1"/>
    <x v="1"/>
    <x v="1"/>
    <x v="1"/>
    <x v="2"/>
    <x v="0"/>
    <x v="2"/>
    <x v="21"/>
    <x v="0"/>
  </r>
  <r>
    <x v="580"/>
    <x v="0"/>
    <x v="0"/>
    <x v="0"/>
    <x v="0"/>
    <x v="10"/>
    <x v="1"/>
    <x v="4"/>
    <x v="4"/>
    <x v="0"/>
    <x v="2"/>
    <x v="4"/>
    <x v="2"/>
    <x v="45"/>
    <x v="0"/>
  </r>
  <r>
    <x v="581"/>
    <x v="0"/>
    <x v="0"/>
    <x v="2"/>
    <x v="1"/>
    <x v="0"/>
    <x v="3"/>
    <x v="1"/>
    <x v="0"/>
    <x v="0"/>
    <x v="1"/>
    <x v="2"/>
    <x v="2"/>
    <x v="26"/>
    <x v="0"/>
  </r>
  <r>
    <x v="582"/>
    <x v="0"/>
    <x v="0"/>
    <x v="2"/>
    <x v="1"/>
    <x v="2"/>
    <x v="5"/>
    <x v="4"/>
    <x v="0"/>
    <x v="0"/>
    <x v="0"/>
    <x v="3"/>
    <x v="2"/>
    <x v="15"/>
    <x v="0"/>
  </r>
  <r>
    <x v="583"/>
    <x v="0"/>
    <x v="0"/>
    <x v="2"/>
    <x v="1"/>
    <x v="10"/>
    <x v="1"/>
    <x v="0"/>
    <x v="4"/>
    <x v="0"/>
    <x v="2"/>
    <x v="4"/>
    <x v="2"/>
    <x v="29"/>
    <x v="0"/>
  </r>
  <r>
    <x v="584"/>
    <x v="1"/>
    <x v="1"/>
    <x v="2"/>
    <x v="1"/>
    <x v="3"/>
    <x v="4"/>
    <x v="0"/>
    <x v="0"/>
    <x v="1"/>
    <x v="1"/>
    <x v="0"/>
    <x v="2"/>
    <x v="34"/>
    <x v="1"/>
  </r>
  <r>
    <x v="585"/>
    <x v="1"/>
    <x v="1"/>
    <x v="2"/>
    <x v="1"/>
    <x v="7"/>
    <x v="4"/>
    <x v="0"/>
    <x v="4"/>
    <x v="1"/>
    <x v="4"/>
    <x v="0"/>
    <x v="2"/>
    <x v="32"/>
    <x v="1"/>
  </r>
  <r>
    <x v="586"/>
    <x v="0"/>
    <x v="0"/>
    <x v="2"/>
    <x v="1"/>
    <x v="10"/>
    <x v="4"/>
    <x v="2"/>
    <x v="2"/>
    <x v="1"/>
    <x v="2"/>
    <x v="3"/>
    <x v="2"/>
    <x v="36"/>
    <x v="0"/>
  </r>
  <r>
    <x v="587"/>
    <x v="0"/>
    <x v="0"/>
    <x v="0"/>
    <x v="0"/>
    <x v="12"/>
    <x v="3"/>
    <x v="4"/>
    <x v="4"/>
    <x v="0"/>
    <x v="4"/>
    <x v="3"/>
    <x v="2"/>
    <x v="8"/>
    <x v="0"/>
  </r>
  <r>
    <x v="588"/>
    <x v="0"/>
    <x v="0"/>
    <x v="0"/>
    <x v="0"/>
    <x v="8"/>
    <x v="4"/>
    <x v="2"/>
    <x v="2"/>
    <x v="0"/>
    <x v="1"/>
    <x v="4"/>
    <x v="2"/>
    <x v="36"/>
    <x v="1"/>
  </r>
  <r>
    <x v="589"/>
    <x v="1"/>
    <x v="1"/>
    <x v="2"/>
    <x v="1"/>
    <x v="10"/>
    <x v="4"/>
    <x v="0"/>
    <x v="4"/>
    <x v="0"/>
    <x v="0"/>
    <x v="4"/>
    <x v="2"/>
    <x v="42"/>
    <x v="0"/>
  </r>
  <r>
    <x v="590"/>
    <x v="0"/>
    <x v="0"/>
    <x v="0"/>
    <x v="0"/>
    <x v="10"/>
    <x v="0"/>
    <x v="4"/>
    <x v="2"/>
    <x v="1"/>
    <x v="0"/>
    <x v="0"/>
    <x v="2"/>
    <x v="11"/>
    <x v="1"/>
  </r>
  <r>
    <x v="591"/>
    <x v="0"/>
    <x v="0"/>
    <x v="2"/>
    <x v="1"/>
    <x v="0"/>
    <x v="5"/>
    <x v="2"/>
    <x v="2"/>
    <x v="1"/>
    <x v="2"/>
    <x v="4"/>
    <x v="2"/>
    <x v="33"/>
    <x v="1"/>
  </r>
  <r>
    <x v="592"/>
    <x v="1"/>
    <x v="1"/>
    <x v="0"/>
    <x v="0"/>
    <x v="2"/>
    <x v="2"/>
    <x v="1"/>
    <x v="2"/>
    <x v="0"/>
    <x v="2"/>
    <x v="2"/>
    <x v="2"/>
    <x v="20"/>
    <x v="0"/>
  </r>
  <r>
    <x v="593"/>
    <x v="1"/>
    <x v="1"/>
    <x v="0"/>
    <x v="0"/>
    <x v="3"/>
    <x v="4"/>
    <x v="1"/>
    <x v="2"/>
    <x v="0"/>
    <x v="0"/>
    <x v="2"/>
    <x v="2"/>
    <x v="38"/>
    <x v="1"/>
  </r>
  <r>
    <x v="594"/>
    <x v="0"/>
    <x v="0"/>
    <x v="2"/>
    <x v="1"/>
    <x v="2"/>
    <x v="5"/>
    <x v="4"/>
    <x v="4"/>
    <x v="0"/>
    <x v="2"/>
    <x v="2"/>
    <x v="2"/>
    <x v="43"/>
    <x v="0"/>
  </r>
  <r>
    <x v="595"/>
    <x v="1"/>
    <x v="1"/>
    <x v="0"/>
    <x v="0"/>
    <x v="6"/>
    <x v="1"/>
    <x v="2"/>
    <x v="0"/>
    <x v="0"/>
    <x v="2"/>
    <x v="1"/>
    <x v="2"/>
    <x v="44"/>
    <x v="0"/>
  </r>
  <r>
    <x v="596"/>
    <x v="0"/>
    <x v="0"/>
    <x v="0"/>
    <x v="0"/>
    <x v="8"/>
    <x v="5"/>
    <x v="1"/>
    <x v="2"/>
    <x v="0"/>
    <x v="1"/>
    <x v="3"/>
    <x v="2"/>
    <x v="12"/>
    <x v="0"/>
  </r>
  <r>
    <x v="597"/>
    <x v="1"/>
    <x v="1"/>
    <x v="2"/>
    <x v="1"/>
    <x v="0"/>
    <x v="4"/>
    <x v="2"/>
    <x v="2"/>
    <x v="1"/>
    <x v="1"/>
    <x v="1"/>
    <x v="2"/>
    <x v="7"/>
    <x v="1"/>
  </r>
  <r>
    <x v="598"/>
    <x v="0"/>
    <x v="0"/>
    <x v="2"/>
    <x v="1"/>
    <x v="12"/>
    <x v="0"/>
    <x v="4"/>
    <x v="4"/>
    <x v="0"/>
    <x v="3"/>
    <x v="0"/>
    <x v="2"/>
    <x v="3"/>
    <x v="0"/>
  </r>
  <r>
    <x v="599"/>
    <x v="0"/>
    <x v="0"/>
    <x v="0"/>
    <x v="0"/>
    <x v="10"/>
    <x v="4"/>
    <x v="1"/>
    <x v="2"/>
    <x v="0"/>
    <x v="1"/>
    <x v="1"/>
    <x v="2"/>
    <x v="42"/>
    <x v="1"/>
  </r>
  <r>
    <x v="600"/>
    <x v="0"/>
    <x v="0"/>
    <x v="2"/>
    <x v="1"/>
    <x v="1"/>
    <x v="4"/>
    <x v="2"/>
    <x v="0"/>
    <x v="1"/>
    <x v="2"/>
    <x v="0"/>
    <x v="2"/>
    <x v="38"/>
    <x v="0"/>
  </r>
  <r>
    <x v="601"/>
    <x v="1"/>
    <x v="1"/>
    <x v="2"/>
    <x v="1"/>
    <x v="2"/>
    <x v="5"/>
    <x v="1"/>
    <x v="2"/>
    <x v="1"/>
    <x v="2"/>
    <x v="0"/>
    <x v="2"/>
    <x v="1"/>
    <x v="0"/>
  </r>
  <r>
    <x v="602"/>
    <x v="1"/>
    <x v="1"/>
    <x v="2"/>
    <x v="1"/>
    <x v="10"/>
    <x v="4"/>
    <x v="3"/>
    <x v="0"/>
    <x v="0"/>
    <x v="2"/>
    <x v="2"/>
    <x v="2"/>
    <x v="31"/>
    <x v="1"/>
  </r>
  <r>
    <x v="603"/>
    <x v="0"/>
    <x v="0"/>
    <x v="2"/>
    <x v="1"/>
    <x v="10"/>
    <x v="0"/>
    <x v="4"/>
    <x v="2"/>
    <x v="0"/>
    <x v="0"/>
    <x v="0"/>
    <x v="2"/>
    <x v="11"/>
    <x v="1"/>
  </r>
  <r>
    <x v="604"/>
    <x v="0"/>
    <x v="0"/>
    <x v="2"/>
    <x v="1"/>
    <x v="0"/>
    <x v="3"/>
    <x v="2"/>
    <x v="0"/>
    <x v="0"/>
    <x v="2"/>
    <x v="2"/>
    <x v="2"/>
    <x v="40"/>
    <x v="0"/>
  </r>
  <r>
    <x v="605"/>
    <x v="1"/>
    <x v="1"/>
    <x v="2"/>
    <x v="1"/>
    <x v="3"/>
    <x v="1"/>
    <x v="2"/>
    <x v="2"/>
    <x v="0"/>
    <x v="0"/>
    <x v="2"/>
    <x v="2"/>
    <x v="31"/>
    <x v="1"/>
  </r>
  <r>
    <x v="606"/>
    <x v="1"/>
    <x v="1"/>
    <x v="2"/>
    <x v="1"/>
    <x v="0"/>
    <x v="4"/>
    <x v="0"/>
    <x v="0"/>
    <x v="0"/>
    <x v="0"/>
    <x v="1"/>
    <x v="2"/>
    <x v="4"/>
    <x v="0"/>
  </r>
  <r>
    <x v="607"/>
    <x v="1"/>
    <x v="1"/>
    <x v="0"/>
    <x v="0"/>
    <x v="3"/>
    <x v="2"/>
    <x v="4"/>
    <x v="2"/>
    <x v="0"/>
    <x v="4"/>
    <x v="4"/>
    <x v="2"/>
    <x v="30"/>
    <x v="1"/>
  </r>
  <r>
    <x v="608"/>
    <x v="0"/>
    <x v="0"/>
    <x v="2"/>
    <x v="1"/>
    <x v="10"/>
    <x v="1"/>
    <x v="3"/>
    <x v="0"/>
    <x v="0"/>
    <x v="2"/>
    <x v="2"/>
    <x v="2"/>
    <x v="31"/>
    <x v="1"/>
  </r>
  <r>
    <x v="609"/>
    <x v="0"/>
    <x v="0"/>
    <x v="2"/>
    <x v="1"/>
    <x v="3"/>
    <x v="3"/>
    <x v="0"/>
    <x v="2"/>
    <x v="1"/>
    <x v="1"/>
    <x v="0"/>
    <x v="2"/>
    <x v="1"/>
    <x v="0"/>
  </r>
  <r>
    <x v="610"/>
    <x v="0"/>
    <x v="0"/>
    <x v="2"/>
    <x v="1"/>
    <x v="10"/>
    <x v="0"/>
    <x v="1"/>
    <x v="0"/>
    <x v="0"/>
    <x v="1"/>
    <x v="1"/>
    <x v="2"/>
    <x v="20"/>
    <x v="0"/>
  </r>
  <r>
    <x v="611"/>
    <x v="0"/>
    <x v="0"/>
    <x v="0"/>
    <x v="0"/>
    <x v="2"/>
    <x v="3"/>
    <x v="0"/>
    <x v="4"/>
    <x v="0"/>
    <x v="1"/>
    <x v="3"/>
    <x v="2"/>
    <x v="17"/>
    <x v="1"/>
  </r>
  <r>
    <x v="612"/>
    <x v="1"/>
    <x v="1"/>
    <x v="0"/>
    <x v="0"/>
    <x v="1"/>
    <x v="3"/>
    <x v="3"/>
    <x v="1"/>
    <x v="0"/>
    <x v="2"/>
    <x v="2"/>
    <x v="2"/>
    <x v="40"/>
    <x v="0"/>
  </r>
  <r>
    <x v="613"/>
    <x v="1"/>
    <x v="1"/>
    <x v="2"/>
    <x v="1"/>
    <x v="15"/>
    <x v="0"/>
    <x v="1"/>
    <x v="2"/>
    <x v="0"/>
    <x v="3"/>
    <x v="2"/>
    <x v="2"/>
    <x v="12"/>
    <x v="1"/>
  </r>
  <r>
    <x v="614"/>
    <x v="0"/>
    <x v="0"/>
    <x v="0"/>
    <x v="0"/>
    <x v="11"/>
    <x v="1"/>
    <x v="1"/>
    <x v="2"/>
    <x v="0"/>
    <x v="3"/>
    <x v="3"/>
    <x v="2"/>
    <x v="12"/>
    <x v="0"/>
  </r>
  <r>
    <x v="615"/>
    <x v="1"/>
    <x v="1"/>
    <x v="0"/>
    <x v="0"/>
    <x v="10"/>
    <x v="5"/>
    <x v="4"/>
    <x v="0"/>
    <x v="1"/>
    <x v="0"/>
    <x v="0"/>
    <x v="2"/>
    <x v="15"/>
    <x v="1"/>
  </r>
  <r>
    <x v="616"/>
    <x v="1"/>
    <x v="1"/>
    <x v="0"/>
    <x v="0"/>
    <x v="2"/>
    <x v="5"/>
    <x v="4"/>
    <x v="0"/>
    <x v="0"/>
    <x v="0"/>
    <x v="3"/>
    <x v="2"/>
    <x v="15"/>
    <x v="0"/>
  </r>
  <r>
    <x v="617"/>
    <x v="0"/>
    <x v="0"/>
    <x v="2"/>
    <x v="1"/>
    <x v="0"/>
    <x v="5"/>
    <x v="2"/>
    <x v="0"/>
    <x v="0"/>
    <x v="2"/>
    <x v="1"/>
    <x v="2"/>
    <x v="20"/>
    <x v="1"/>
  </r>
  <r>
    <x v="618"/>
    <x v="1"/>
    <x v="1"/>
    <x v="0"/>
    <x v="0"/>
    <x v="6"/>
    <x v="1"/>
    <x v="3"/>
    <x v="1"/>
    <x v="1"/>
    <x v="2"/>
    <x v="0"/>
    <x v="2"/>
    <x v="38"/>
    <x v="0"/>
  </r>
  <r>
    <x v="619"/>
    <x v="1"/>
    <x v="1"/>
    <x v="0"/>
    <x v="0"/>
    <x v="0"/>
    <x v="3"/>
    <x v="2"/>
    <x v="0"/>
    <x v="0"/>
    <x v="1"/>
    <x v="2"/>
    <x v="2"/>
    <x v="25"/>
    <x v="0"/>
  </r>
  <r>
    <x v="620"/>
    <x v="0"/>
    <x v="0"/>
    <x v="0"/>
    <x v="0"/>
    <x v="11"/>
    <x v="5"/>
    <x v="1"/>
    <x v="2"/>
    <x v="0"/>
    <x v="3"/>
    <x v="1"/>
    <x v="2"/>
    <x v="3"/>
    <x v="1"/>
  </r>
  <r>
    <x v="621"/>
    <x v="0"/>
    <x v="0"/>
    <x v="2"/>
    <x v="1"/>
    <x v="3"/>
    <x v="5"/>
    <x v="0"/>
    <x v="4"/>
    <x v="0"/>
    <x v="1"/>
    <x v="3"/>
    <x v="2"/>
    <x v="7"/>
    <x v="0"/>
  </r>
  <r>
    <x v="622"/>
    <x v="0"/>
    <x v="0"/>
    <x v="2"/>
    <x v="1"/>
    <x v="10"/>
    <x v="2"/>
    <x v="0"/>
    <x v="2"/>
    <x v="0"/>
    <x v="1"/>
    <x v="1"/>
    <x v="2"/>
    <x v="15"/>
    <x v="0"/>
  </r>
  <r>
    <x v="623"/>
    <x v="0"/>
    <x v="0"/>
    <x v="0"/>
    <x v="0"/>
    <x v="3"/>
    <x v="5"/>
    <x v="1"/>
    <x v="2"/>
    <x v="0"/>
    <x v="1"/>
    <x v="3"/>
    <x v="2"/>
    <x v="10"/>
    <x v="0"/>
  </r>
  <r>
    <x v="624"/>
    <x v="1"/>
    <x v="1"/>
    <x v="0"/>
    <x v="0"/>
    <x v="3"/>
    <x v="3"/>
    <x v="1"/>
    <x v="0"/>
    <x v="1"/>
    <x v="2"/>
    <x v="0"/>
    <x v="2"/>
    <x v="40"/>
    <x v="1"/>
  </r>
  <r>
    <x v="625"/>
    <x v="0"/>
    <x v="0"/>
    <x v="2"/>
    <x v="1"/>
    <x v="10"/>
    <x v="1"/>
    <x v="4"/>
    <x v="4"/>
    <x v="0"/>
    <x v="2"/>
    <x v="3"/>
    <x v="2"/>
    <x v="41"/>
    <x v="0"/>
  </r>
  <r>
    <x v="626"/>
    <x v="0"/>
    <x v="0"/>
    <x v="0"/>
    <x v="0"/>
    <x v="10"/>
    <x v="3"/>
    <x v="1"/>
    <x v="0"/>
    <x v="0"/>
    <x v="2"/>
    <x v="2"/>
    <x v="2"/>
    <x v="19"/>
    <x v="0"/>
  </r>
  <r>
    <x v="627"/>
    <x v="0"/>
    <x v="0"/>
    <x v="0"/>
    <x v="0"/>
    <x v="10"/>
    <x v="1"/>
    <x v="4"/>
    <x v="4"/>
    <x v="0"/>
    <x v="2"/>
    <x v="3"/>
    <x v="2"/>
    <x v="41"/>
    <x v="0"/>
  </r>
  <r>
    <x v="628"/>
    <x v="1"/>
    <x v="1"/>
    <x v="2"/>
    <x v="1"/>
    <x v="2"/>
    <x v="1"/>
    <x v="1"/>
    <x v="2"/>
    <x v="1"/>
    <x v="1"/>
    <x v="3"/>
    <x v="2"/>
    <x v="36"/>
    <x v="1"/>
  </r>
  <r>
    <x v="629"/>
    <x v="0"/>
    <x v="0"/>
    <x v="0"/>
    <x v="0"/>
    <x v="14"/>
    <x v="0"/>
    <x v="4"/>
    <x v="0"/>
    <x v="0"/>
    <x v="0"/>
    <x v="0"/>
    <x v="2"/>
    <x v="11"/>
    <x v="0"/>
  </r>
  <r>
    <x v="630"/>
    <x v="0"/>
    <x v="0"/>
    <x v="2"/>
    <x v="1"/>
    <x v="0"/>
    <x v="3"/>
    <x v="2"/>
    <x v="0"/>
    <x v="1"/>
    <x v="2"/>
    <x v="3"/>
    <x v="2"/>
    <x v="25"/>
    <x v="0"/>
  </r>
  <r>
    <x v="631"/>
    <x v="1"/>
    <x v="1"/>
    <x v="2"/>
    <x v="1"/>
    <x v="3"/>
    <x v="2"/>
    <x v="1"/>
    <x v="2"/>
    <x v="0"/>
    <x v="4"/>
    <x v="1"/>
    <x v="2"/>
    <x v="20"/>
    <x v="0"/>
  </r>
  <r>
    <x v="632"/>
    <x v="1"/>
    <x v="1"/>
    <x v="0"/>
    <x v="0"/>
    <x v="2"/>
    <x v="5"/>
    <x v="4"/>
    <x v="0"/>
    <x v="0"/>
    <x v="0"/>
    <x v="3"/>
    <x v="2"/>
    <x v="28"/>
    <x v="0"/>
  </r>
  <r>
    <x v="633"/>
    <x v="0"/>
    <x v="0"/>
    <x v="0"/>
    <x v="0"/>
    <x v="12"/>
    <x v="0"/>
    <x v="0"/>
    <x v="4"/>
    <x v="0"/>
    <x v="2"/>
    <x v="0"/>
    <x v="2"/>
    <x v="12"/>
    <x v="1"/>
  </r>
  <r>
    <x v="634"/>
    <x v="0"/>
    <x v="0"/>
    <x v="2"/>
    <x v="1"/>
    <x v="10"/>
    <x v="1"/>
    <x v="0"/>
    <x v="4"/>
    <x v="1"/>
    <x v="2"/>
    <x v="3"/>
    <x v="2"/>
    <x v="29"/>
    <x v="0"/>
  </r>
  <r>
    <x v="635"/>
    <x v="1"/>
    <x v="1"/>
    <x v="0"/>
    <x v="0"/>
    <x v="1"/>
    <x v="4"/>
    <x v="2"/>
    <x v="0"/>
    <x v="1"/>
    <x v="2"/>
    <x v="0"/>
    <x v="2"/>
    <x v="38"/>
    <x v="0"/>
  </r>
  <r>
    <x v="636"/>
    <x v="1"/>
    <x v="1"/>
    <x v="0"/>
    <x v="0"/>
    <x v="7"/>
    <x v="5"/>
    <x v="1"/>
    <x v="2"/>
    <x v="0"/>
    <x v="4"/>
    <x v="2"/>
    <x v="2"/>
    <x v="1"/>
    <x v="1"/>
  </r>
  <r>
    <x v="637"/>
    <x v="1"/>
    <x v="1"/>
    <x v="2"/>
    <x v="1"/>
    <x v="0"/>
    <x v="3"/>
    <x v="2"/>
    <x v="0"/>
    <x v="1"/>
    <x v="2"/>
    <x v="3"/>
    <x v="2"/>
    <x v="25"/>
    <x v="0"/>
  </r>
  <r>
    <x v="638"/>
    <x v="1"/>
    <x v="1"/>
    <x v="2"/>
    <x v="1"/>
    <x v="3"/>
    <x v="3"/>
    <x v="4"/>
    <x v="4"/>
    <x v="0"/>
    <x v="2"/>
    <x v="2"/>
    <x v="2"/>
    <x v="50"/>
    <x v="1"/>
  </r>
  <r>
    <x v="639"/>
    <x v="0"/>
    <x v="0"/>
    <x v="2"/>
    <x v="1"/>
    <x v="11"/>
    <x v="4"/>
    <x v="4"/>
    <x v="4"/>
    <x v="0"/>
    <x v="4"/>
    <x v="3"/>
    <x v="2"/>
    <x v="27"/>
    <x v="0"/>
  </r>
  <r>
    <x v="640"/>
    <x v="0"/>
    <x v="0"/>
    <x v="0"/>
    <x v="0"/>
    <x v="10"/>
    <x v="4"/>
    <x v="1"/>
    <x v="2"/>
    <x v="0"/>
    <x v="2"/>
    <x v="1"/>
    <x v="2"/>
    <x v="16"/>
    <x v="1"/>
  </r>
  <r>
    <x v="641"/>
    <x v="0"/>
    <x v="0"/>
    <x v="2"/>
    <x v="1"/>
    <x v="14"/>
    <x v="5"/>
    <x v="0"/>
    <x v="4"/>
    <x v="0"/>
    <x v="2"/>
    <x v="4"/>
    <x v="2"/>
    <x v="46"/>
    <x v="0"/>
  </r>
  <r>
    <x v="642"/>
    <x v="0"/>
    <x v="0"/>
    <x v="0"/>
    <x v="0"/>
    <x v="3"/>
    <x v="1"/>
    <x v="1"/>
    <x v="2"/>
    <x v="0"/>
    <x v="2"/>
    <x v="2"/>
    <x v="2"/>
    <x v="5"/>
    <x v="1"/>
  </r>
  <r>
    <x v="643"/>
    <x v="0"/>
    <x v="0"/>
    <x v="0"/>
    <x v="0"/>
    <x v="3"/>
    <x v="1"/>
    <x v="4"/>
    <x v="2"/>
    <x v="0"/>
    <x v="0"/>
    <x v="1"/>
    <x v="2"/>
    <x v="11"/>
    <x v="1"/>
  </r>
  <r>
    <x v="644"/>
    <x v="0"/>
    <x v="0"/>
    <x v="0"/>
    <x v="0"/>
    <x v="10"/>
    <x v="2"/>
    <x v="0"/>
    <x v="0"/>
    <x v="0"/>
    <x v="4"/>
    <x v="4"/>
    <x v="2"/>
    <x v="3"/>
    <x v="0"/>
  </r>
  <r>
    <x v="645"/>
    <x v="1"/>
    <x v="1"/>
    <x v="0"/>
    <x v="0"/>
    <x v="10"/>
    <x v="3"/>
    <x v="4"/>
    <x v="0"/>
    <x v="0"/>
    <x v="0"/>
    <x v="0"/>
    <x v="2"/>
    <x v="32"/>
    <x v="0"/>
  </r>
  <r>
    <x v="646"/>
    <x v="1"/>
    <x v="1"/>
    <x v="0"/>
    <x v="0"/>
    <x v="10"/>
    <x v="5"/>
    <x v="4"/>
    <x v="0"/>
    <x v="1"/>
    <x v="0"/>
    <x v="3"/>
    <x v="2"/>
    <x v="15"/>
    <x v="0"/>
  </r>
  <r>
    <x v="647"/>
    <x v="1"/>
    <x v="1"/>
    <x v="2"/>
    <x v="1"/>
    <x v="0"/>
    <x v="3"/>
    <x v="2"/>
    <x v="0"/>
    <x v="0"/>
    <x v="2"/>
    <x v="2"/>
    <x v="2"/>
    <x v="23"/>
    <x v="0"/>
  </r>
  <r>
    <x v="648"/>
    <x v="1"/>
    <x v="1"/>
    <x v="0"/>
    <x v="0"/>
    <x v="3"/>
    <x v="4"/>
    <x v="0"/>
    <x v="4"/>
    <x v="1"/>
    <x v="1"/>
    <x v="1"/>
    <x v="2"/>
    <x v="7"/>
    <x v="1"/>
  </r>
  <r>
    <x v="649"/>
    <x v="1"/>
    <x v="1"/>
    <x v="0"/>
    <x v="0"/>
    <x v="3"/>
    <x v="3"/>
    <x v="0"/>
    <x v="2"/>
    <x v="1"/>
    <x v="1"/>
    <x v="1"/>
    <x v="2"/>
    <x v="13"/>
    <x v="1"/>
  </r>
  <r>
    <x v="650"/>
    <x v="1"/>
    <x v="1"/>
    <x v="0"/>
    <x v="0"/>
    <x v="3"/>
    <x v="2"/>
    <x v="4"/>
    <x v="4"/>
    <x v="0"/>
    <x v="2"/>
    <x v="4"/>
    <x v="2"/>
    <x v="41"/>
    <x v="1"/>
  </r>
  <r>
    <x v="651"/>
    <x v="1"/>
    <x v="1"/>
    <x v="2"/>
    <x v="1"/>
    <x v="10"/>
    <x v="3"/>
    <x v="1"/>
    <x v="2"/>
    <x v="1"/>
    <x v="2"/>
    <x v="3"/>
    <x v="2"/>
    <x v="21"/>
    <x v="1"/>
  </r>
  <r>
    <x v="652"/>
    <x v="0"/>
    <x v="0"/>
    <x v="2"/>
    <x v="1"/>
    <x v="3"/>
    <x v="2"/>
    <x v="1"/>
    <x v="2"/>
    <x v="1"/>
    <x v="4"/>
    <x v="2"/>
    <x v="2"/>
    <x v="12"/>
    <x v="0"/>
  </r>
  <r>
    <x v="653"/>
    <x v="1"/>
    <x v="1"/>
    <x v="2"/>
    <x v="1"/>
    <x v="1"/>
    <x v="3"/>
    <x v="2"/>
    <x v="0"/>
    <x v="1"/>
    <x v="2"/>
    <x v="3"/>
    <x v="2"/>
    <x v="23"/>
    <x v="1"/>
  </r>
  <r>
    <x v="654"/>
    <x v="1"/>
    <x v="1"/>
    <x v="2"/>
    <x v="1"/>
    <x v="0"/>
    <x v="3"/>
    <x v="2"/>
    <x v="0"/>
    <x v="1"/>
    <x v="2"/>
    <x v="3"/>
    <x v="2"/>
    <x v="23"/>
    <x v="1"/>
  </r>
  <r>
    <x v="655"/>
    <x v="0"/>
    <x v="0"/>
    <x v="0"/>
    <x v="0"/>
    <x v="0"/>
    <x v="1"/>
    <x v="1"/>
    <x v="1"/>
    <x v="0"/>
    <x v="1"/>
    <x v="0"/>
    <x v="2"/>
    <x v="23"/>
    <x v="0"/>
  </r>
  <r>
    <x v="656"/>
    <x v="0"/>
    <x v="0"/>
    <x v="2"/>
    <x v="1"/>
    <x v="10"/>
    <x v="4"/>
    <x v="2"/>
    <x v="2"/>
    <x v="1"/>
    <x v="2"/>
    <x v="2"/>
    <x v="2"/>
    <x v="5"/>
    <x v="0"/>
  </r>
  <r>
    <x v="657"/>
    <x v="0"/>
    <x v="0"/>
    <x v="2"/>
    <x v="1"/>
    <x v="3"/>
    <x v="0"/>
    <x v="1"/>
    <x v="0"/>
    <x v="0"/>
    <x v="1"/>
    <x v="0"/>
    <x v="2"/>
    <x v="20"/>
    <x v="0"/>
  </r>
  <r>
    <x v="658"/>
    <x v="1"/>
    <x v="1"/>
    <x v="2"/>
    <x v="1"/>
    <x v="14"/>
    <x v="4"/>
    <x v="0"/>
    <x v="0"/>
    <x v="0"/>
    <x v="1"/>
    <x v="1"/>
    <x v="2"/>
    <x v="13"/>
    <x v="1"/>
  </r>
  <r>
    <x v="659"/>
    <x v="1"/>
    <x v="1"/>
    <x v="0"/>
    <x v="0"/>
    <x v="10"/>
    <x v="5"/>
    <x v="0"/>
    <x v="4"/>
    <x v="0"/>
    <x v="2"/>
    <x v="4"/>
    <x v="2"/>
    <x v="18"/>
    <x v="0"/>
  </r>
  <r>
    <x v="660"/>
    <x v="0"/>
    <x v="0"/>
    <x v="0"/>
    <x v="0"/>
    <x v="10"/>
    <x v="0"/>
    <x v="4"/>
    <x v="2"/>
    <x v="0"/>
    <x v="0"/>
    <x v="1"/>
    <x v="2"/>
    <x v="4"/>
    <x v="1"/>
  </r>
  <r>
    <x v="661"/>
    <x v="1"/>
    <x v="1"/>
    <x v="2"/>
    <x v="1"/>
    <x v="0"/>
    <x v="3"/>
    <x v="2"/>
    <x v="0"/>
    <x v="1"/>
    <x v="2"/>
    <x v="0"/>
    <x v="2"/>
    <x v="26"/>
    <x v="1"/>
  </r>
  <r>
    <x v="662"/>
    <x v="1"/>
    <x v="1"/>
    <x v="0"/>
    <x v="0"/>
    <x v="11"/>
    <x v="0"/>
    <x v="1"/>
    <x v="2"/>
    <x v="1"/>
    <x v="4"/>
    <x v="3"/>
    <x v="2"/>
    <x v="20"/>
    <x v="0"/>
  </r>
  <r>
    <x v="663"/>
    <x v="0"/>
    <x v="0"/>
    <x v="0"/>
    <x v="0"/>
    <x v="3"/>
    <x v="2"/>
    <x v="4"/>
    <x v="2"/>
    <x v="0"/>
    <x v="1"/>
    <x v="0"/>
    <x v="2"/>
    <x v="15"/>
    <x v="0"/>
  </r>
  <r>
    <x v="664"/>
    <x v="0"/>
    <x v="0"/>
    <x v="0"/>
    <x v="0"/>
    <x v="2"/>
    <x v="3"/>
    <x v="4"/>
    <x v="0"/>
    <x v="0"/>
    <x v="0"/>
    <x v="3"/>
    <x v="2"/>
    <x v="8"/>
    <x v="1"/>
  </r>
  <r>
    <x v="665"/>
    <x v="0"/>
    <x v="0"/>
    <x v="2"/>
    <x v="1"/>
    <x v="12"/>
    <x v="0"/>
    <x v="4"/>
    <x v="4"/>
    <x v="0"/>
    <x v="3"/>
    <x v="0"/>
    <x v="2"/>
    <x v="8"/>
    <x v="0"/>
  </r>
  <r>
    <x v="666"/>
    <x v="0"/>
    <x v="0"/>
    <x v="0"/>
    <x v="0"/>
    <x v="10"/>
    <x v="0"/>
    <x v="1"/>
    <x v="0"/>
    <x v="0"/>
    <x v="1"/>
    <x v="1"/>
    <x v="2"/>
    <x v="30"/>
    <x v="1"/>
  </r>
  <r>
    <x v="667"/>
    <x v="0"/>
    <x v="0"/>
    <x v="0"/>
    <x v="0"/>
    <x v="0"/>
    <x v="2"/>
    <x v="2"/>
    <x v="2"/>
    <x v="1"/>
    <x v="2"/>
    <x v="4"/>
    <x v="2"/>
    <x v="33"/>
    <x v="0"/>
  </r>
  <r>
    <x v="668"/>
    <x v="0"/>
    <x v="0"/>
    <x v="0"/>
    <x v="0"/>
    <x v="10"/>
    <x v="3"/>
    <x v="4"/>
    <x v="2"/>
    <x v="0"/>
    <x v="0"/>
    <x v="0"/>
    <x v="2"/>
    <x v="8"/>
    <x v="0"/>
  </r>
  <r>
    <x v="669"/>
    <x v="0"/>
    <x v="0"/>
    <x v="0"/>
    <x v="0"/>
    <x v="10"/>
    <x v="4"/>
    <x v="2"/>
    <x v="2"/>
    <x v="0"/>
    <x v="2"/>
    <x v="2"/>
    <x v="2"/>
    <x v="5"/>
    <x v="0"/>
  </r>
  <r>
    <x v="670"/>
    <x v="0"/>
    <x v="0"/>
    <x v="2"/>
    <x v="1"/>
    <x v="3"/>
    <x v="4"/>
    <x v="1"/>
    <x v="2"/>
    <x v="0"/>
    <x v="1"/>
    <x v="4"/>
    <x v="2"/>
    <x v="14"/>
    <x v="0"/>
  </r>
  <r>
    <x v="671"/>
    <x v="1"/>
    <x v="1"/>
    <x v="0"/>
    <x v="0"/>
    <x v="10"/>
    <x v="0"/>
    <x v="4"/>
    <x v="2"/>
    <x v="0"/>
    <x v="0"/>
    <x v="1"/>
    <x v="2"/>
    <x v="4"/>
    <x v="1"/>
  </r>
  <r>
    <x v="672"/>
    <x v="1"/>
    <x v="1"/>
    <x v="0"/>
    <x v="0"/>
    <x v="0"/>
    <x v="3"/>
    <x v="2"/>
    <x v="0"/>
    <x v="0"/>
    <x v="2"/>
    <x v="2"/>
    <x v="2"/>
    <x v="25"/>
    <x v="0"/>
  </r>
  <r>
    <x v="673"/>
    <x v="1"/>
    <x v="1"/>
    <x v="0"/>
    <x v="0"/>
    <x v="3"/>
    <x v="5"/>
    <x v="4"/>
    <x v="2"/>
    <x v="0"/>
    <x v="0"/>
    <x v="1"/>
    <x v="2"/>
    <x v="11"/>
    <x v="1"/>
  </r>
  <r>
    <x v="674"/>
    <x v="0"/>
    <x v="0"/>
    <x v="0"/>
    <x v="0"/>
    <x v="1"/>
    <x v="4"/>
    <x v="2"/>
    <x v="0"/>
    <x v="0"/>
    <x v="2"/>
    <x v="3"/>
    <x v="2"/>
    <x v="28"/>
    <x v="0"/>
  </r>
  <r>
    <x v="675"/>
    <x v="0"/>
    <x v="0"/>
    <x v="2"/>
    <x v="1"/>
    <x v="11"/>
    <x v="1"/>
    <x v="0"/>
    <x v="4"/>
    <x v="0"/>
    <x v="3"/>
    <x v="0"/>
    <x v="2"/>
    <x v="3"/>
    <x v="0"/>
  </r>
  <r>
    <x v="676"/>
    <x v="0"/>
    <x v="0"/>
    <x v="2"/>
    <x v="1"/>
    <x v="0"/>
    <x v="4"/>
    <x v="1"/>
    <x v="1"/>
    <x v="0"/>
    <x v="1"/>
    <x v="0"/>
    <x v="2"/>
    <x v="15"/>
    <x v="0"/>
  </r>
  <r>
    <x v="677"/>
    <x v="0"/>
    <x v="0"/>
    <x v="2"/>
    <x v="1"/>
    <x v="10"/>
    <x v="5"/>
    <x v="4"/>
    <x v="0"/>
    <x v="1"/>
    <x v="0"/>
    <x v="0"/>
    <x v="2"/>
    <x v="15"/>
    <x v="0"/>
  </r>
  <r>
    <x v="678"/>
    <x v="0"/>
    <x v="0"/>
    <x v="2"/>
    <x v="1"/>
    <x v="2"/>
    <x v="2"/>
    <x v="0"/>
    <x v="4"/>
    <x v="1"/>
    <x v="2"/>
    <x v="1"/>
    <x v="0"/>
    <x v="24"/>
    <x v="0"/>
  </r>
  <r>
    <x v="679"/>
    <x v="0"/>
    <x v="0"/>
    <x v="2"/>
    <x v="1"/>
    <x v="10"/>
    <x v="5"/>
    <x v="0"/>
    <x v="4"/>
    <x v="0"/>
    <x v="2"/>
    <x v="4"/>
    <x v="2"/>
    <x v="2"/>
    <x v="0"/>
  </r>
  <r>
    <x v="680"/>
    <x v="0"/>
    <x v="0"/>
    <x v="0"/>
    <x v="0"/>
    <x v="10"/>
    <x v="3"/>
    <x v="1"/>
    <x v="0"/>
    <x v="1"/>
    <x v="1"/>
    <x v="3"/>
    <x v="2"/>
    <x v="6"/>
    <x v="0"/>
  </r>
  <r>
    <x v="681"/>
    <x v="1"/>
    <x v="1"/>
    <x v="0"/>
    <x v="0"/>
    <x v="2"/>
    <x v="5"/>
    <x v="4"/>
    <x v="0"/>
    <x v="1"/>
    <x v="0"/>
    <x v="0"/>
    <x v="2"/>
    <x v="15"/>
    <x v="0"/>
  </r>
  <r>
    <x v="682"/>
    <x v="0"/>
    <x v="0"/>
    <x v="2"/>
    <x v="1"/>
    <x v="6"/>
    <x v="1"/>
    <x v="3"/>
    <x v="1"/>
    <x v="1"/>
    <x v="2"/>
    <x v="0"/>
    <x v="2"/>
    <x v="31"/>
    <x v="0"/>
  </r>
  <r>
    <x v="683"/>
    <x v="0"/>
    <x v="0"/>
    <x v="0"/>
    <x v="0"/>
    <x v="8"/>
    <x v="2"/>
    <x v="1"/>
    <x v="2"/>
    <x v="0"/>
    <x v="4"/>
    <x v="1"/>
    <x v="2"/>
    <x v="8"/>
    <x v="0"/>
  </r>
  <r>
    <x v="684"/>
    <x v="1"/>
    <x v="1"/>
    <x v="0"/>
    <x v="0"/>
    <x v="10"/>
    <x v="5"/>
    <x v="0"/>
    <x v="0"/>
    <x v="1"/>
    <x v="2"/>
    <x v="0"/>
    <x v="2"/>
    <x v="0"/>
    <x v="0"/>
  </r>
  <r>
    <x v="685"/>
    <x v="1"/>
    <x v="1"/>
    <x v="0"/>
    <x v="0"/>
    <x v="10"/>
    <x v="1"/>
    <x v="4"/>
    <x v="4"/>
    <x v="0"/>
    <x v="2"/>
    <x v="2"/>
    <x v="2"/>
    <x v="39"/>
    <x v="1"/>
  </r>
  <r>
    <x v="686"/>
    <x v="0"/>
    <x v="0"/>
    <x v="0"/>
    <x v="0"/>
    <x v="0"/>
    <x v="0"/>
    <x v="1"/>
    <x v="1"/>
    <x v="0"/>
    <x v="1"/>
    <x v="3"/>
    <x v="2"/>
    <x v="36"/>
    <x v="1"/>
  </r>
  <r>
    <x v="687"/>
    <x v="1"/>
    <x v="1"/>
    <x v="2"/>
    <x v="1"/>
    <x v="1"/>
    <x v="3"/>
    <x v="1"/>
    <x v="0"/>
    <x v="0"/>
    <x v="2"/>
    <x v="2"/>
    <x v="2"/>
    <x v="25"/>
    <x v="0"/>
  </r>
  <r>
    <x v="688"/>
    <x v="1"/>
    <x v="1"/>
    <x v="2"/>
    <x v="1"/>
    <x v="10"/>
    <x v="3"/>
    <x v="0"/>
    <x v="0"/>
    <x v="1"/>
    <x v="2"/>
    <x v="0"/>
    <x v="2"/>
    <x v="25"/>
    <x v="0"/>
  </r>
  <r>
    <x v="689"/>
    <x v="0"/>
    <x v="0"/>
    <x v="2"/>
    <x v="1"/>
    <x v="1"/>
    <x v="3"/>
    <x v="2"/>
    <x v="0"/>
    <x v="0"/>
    <x v="2"/>
    <x v="2"/>
    <x v="2"/>
    <x v="22"/>
    <x v="0"/>
  </r>
  <r>
    <x v="690"/>
    <x v="1"/>
    <x v="1"/>
    <x v="0"/>
    <x v="0"/>
    <x v="12"/>
    <x v="0"/>
    <x v="0"/>
    <x v="4"/>
    <x v="1"/>
    <x v="1"/>
    <x v="1"/>
    <x v="2"/>
    <x v="12"/>
    <x v="0"/>
  </r>
  <r>
    <x v="691"/>
    <x v="0"/>
    <x v="0"/>
    <x v="2"/>
    <x v="1"/>
    <x v="14"/>
    <x v="0"/>
    <x v="0"/>
    <x v="0"/>
    <x v="0"/>
    <x v="0"/>
    <x v="0"/>
    <x v="2"/>
    <x v="17"/>
    <x v="1"/>
  </r>
  <r>
    <x v="692"/>
    <x v="0"/>
    <x v="0"/>
    <x v="2"/>
    <x v="1"/>
    <x v="3"/>
    <x v="0"/>
    <x v="0"/>
    <x v="2"/>
    <x v="0"/>
    <x v="1"/>
    <x v="1"/>
    <x v="2"/>
    <x v="20"/>
    <x v="1"/>
  </r>
  <r>
    <x v="693"/>
    <x v="1"/>
    <x v="1"/>
    <x v="0"/>
    <x v="0"/>
    <x v="10"/>
    <x v="5"/>
    <x v="0"/>
    <x v="0"/>
    <x v="1"/>
    <x v="2"/>
    <x v="0"/>
    <x v="2"/>
    <x v="3"/>
    <x v="1"/>
  </r>
  <r>
    <x v="694"/>
    <x v="1"/>
    <x v="1"/>
    <x v="0"/>
    <x v="0"/>
    <x v="2"/>
    <x v="1"/>
    <x v="4"/>
    <x v="2"/>
    <x v="1"/>
    <x v="0"/>
    <x v="0"/>
    <x v="2"/>
    <x v="4"/>
    <x v="1"/>
  </r>
  <r>
    <x v="695"/>
    <x v="0"/>
    <x v="0"/>
    <x v="2"/>
    <x v="1"/>
    <x v="2"/>
    <x v="2"/>
    <x v="1"/>
    <x v="2"/>
    <x v="0"/>
    <x v="2"/>
    <x v="0"/>
    <x v="2"/>
    <x v="20"/>
    <x v="0"/>
  </r>
  <r>
    <x v="696"/>
    <x v="1"/>
    <x v="1"/>
    <x v="2"/>
    <x v="1"/>
    <x v="10"/>
    <x v="3"/>
    <x v="1"/>
    <x v="2"/>
    <x v="1"/>
    <x v="2"/>
    <x v="3"/>
    <x v="2"/>
    <x v="25"/>
    <x v="0"/>
  </r>
  <r>
    <x v="697"/>
    <x v="0"/>
    <x v="0"/>
    <x v="0"/>
    <x v="0"/>
    <x v="1"/>
    <x v="3"/>
    <x v="3"/>
    <x v="1"/>
    <x v="1"/>
    <x v="2"/>
    <x v="0"/>
    <x v="2"/>
    <x v="26"/>
    <x v="0"/>
  </r>
  <r>
    <x v="698"/>
    <x v="0"/>
    <x v="0"/>
    <x v="2"/>
    <x v="1"/>
    <x v="6"/>
    <x v="4"/>
    <x v="3"/>
    <x v="1"/>
    <x v="0"/>
    <x v="2"/>
    <x v="3"/>
    <x v="2"/>
    <x v="38"/>
    <x v="0"/>
  </r>
  <r>
    <x v="699"/>
    <x v="1"/>
    <x v="1"/>
    <x v="2"/>
    <x v="1"/>
    <x v="8"/>
    <x v="3"/>
    <x v="1"/>
    <x v="2"/>
    <x v="1"/>
    <x v="2"/>
    <x v="0"/>
    <x v="2"/>
    <x v="1"/>
    <x v="1"/>
  </r>
  <r>
    <x v="700"/>
    <x v="0"/>
    <x v="0"/>
    <x v="0"/>
    <x v="0"/>
    <x v="3"/>
    <x v="5"/>
    <x v="0"/>
    <x v="4"/>
    <x v="0"/>
    <x v="1"/>
    <x v="3"/>
    <x v="2"/>
    <x v="14"/>
    <x v="0"/>
  </r>
  <r>
    <x v="701"/>
    <x v="1"/>
    <x v="1"/>
    <x v="2"/>
    <x v="1"/>
    <x v="1"/>
    <x v="3"/>
    <x v="2"/>
    <x v="0"/>
    <x v="0"/>
    <x v="2"/>
    <x v="2"/>
    <x v="2"/>
    <x v="22"/>
    <x v="0"/>
  </r>
  <r>
    <x v="702"/>
    <x v="0"/>
    <x v="0"/>
    <x v="2"/>
    <x v="1"/>
    <x v="7"/>
    <x v="0"/>
    <x v="2"/>
    <x v="2"/>
    <x v="0"/>
    <x v="3"/>
    <x v="2"/>
    <x v="2"/>
    <x v="30"/>
    <x v="1"/>
  </r>
  <r>
    <x v="703"/>
    <x v="1"/>
    <x v="1"/>
    <x v="0"/>
    <x v="0"/>
    <x v="14"/>
    <x v="3"/>
    <x v="4"/>
    <x v="0"/>
    <x v="0"/>
    <x v="0"/>
    <x v="3"/>
    <x v="2"/>
    <x v="6"/>
    <x v="0"/>
  </r>
  <r>
    <x v="704"/>
    <x v="1"/>
    <x v="1"/>
    <x v="0"/>
    <x v="0"/>
    <x v="0"/>
    <x v="3"/>
    <x v="0"/>
    <x v="2"/>
    <x v="0"/>
    <x v="1"/>
    <x v="1"/>
    <x v="2"/>
    <x v="0"/>
    <x v="1"/>
  </r>
  <r>
    <x v="705"/>
    <x v="0"/>
    <x v="0"/>
    <x v="0"/>
    <x v="0"/>
    <x v="3"/>
    <x v="5"/>
    <x v="0"/>
    <x v="4"/>
    <x v="0"/>
    <x v="1"/>
    <x v="4"/>
    <x v="2"/>
    <x v="14"/>
    <x v="0"/>
  </r>
  <r>
    <x v="706"/>
    <x v="1"/>
    <x v="1"/>
    <x v="0"/>
    <x v="0"/>
    <x v="10"/>
    <x v="3"/>
    <x v="1"/>
    <x v="0"/>
    <x v="1"/>
    <x v="1"/>
    <x v="3"/>
    <x v="2"/>
    <x v="6"/>
    <x v="1"/>
  </r>
  <r>
    <x v="707"/>
    <x v="0"/>
    <x v="0"/>
    <x v="0"/>
    <x v="0"/>
    <x v="3"/>
    <x v="0"/>
    <x v="1"/>
    <x v="0"/>
    <x v="0"/>
    <x v="1"/>
    <x v="0"/>
    <x v="2"/>
    <x v="20"/>
    <x v="1"/>
  </r>
  <r>
    <x v="708"/>
    <x v="0"/>
    <x v="0"/>
    <x v="2"/>
    <x v="1"/>
    <x v="3"/>
    <x v="2"/>
    <x v="0"/>
    <x v="4"/>
    <x v="0"/>
    <x v="3"/>
    <x v="4"/>
    <x v="2"/>
    <x v="2"/>
    <x v="0"/>
  </r>
  <r>
    <x v="709"/>
    <x v="1"/>
    <x v="1"/>
    <x v="0"/>
    <x v="0"/>
    <x v="3"/>
    <x v="4"/>
    <x v="0"/>
    <x v="4"/>
    <x v="0"/>
    <x v="1"/>
    <x v="4"/>
    <x v="2"/>
    <x v="14"/>
    <x v="0"/>
  </r>
  <r>
    <x v="710"/>
    <x v="0"/>
    <x v="0"/>
    <x v="2"/>
    <x v="1"/>
    <x v="10"/>
    <x v="3"/>
    <x v="2"/>
    <x v="2"/>
    <x v="0"/>
    <x v="2"/>
    <x v="2"/>
    <x v="2"/>
    <x v="21"/>
    <x v="1"/>
  </r>
  <r>
    <x v="711"/>
    <x v="0"/>
    <x v="0"/>
    <x v="0"/>
    <x v="0"/>
    <x v="3"/>
    <x v="4"/>
    <x v="1"/>
    <x v="2"/>
    <x v="0"/>
    <x v="1"/>
    <x v="4"/>
    <x v="2"/>
    <x v="7"/>
    <x v="0"/>
  </r>
  <r>
    <x v="712"/>
    <x v="0"/>
    <x v="0"/>
    <x v="0"/>
    <x v="0"/>
    <x v="0"/>
    <x v="4"/>
    <x v="2"/>
    <x v="2"/>
    <x v="1"/>
    <x v="2"/>
    <x v="1"/>
    <x v="2"/>
    <x v="14"/>
    <x v="0"/>
  </r>
  <r>
    <x v="713"/>
    <x v="1"/>
    <x v="1"/>
    <x v="0"/>
    <x v="0"/>
    <x v="3"/>
    <x v="4"/>
    <x v="0"/>
    <x v="0"/>
    <x v="0"/>
    <x v="1"/>
    <x v="1"/>
    <x v="2"/>
    <x v="13"/>
    <x v="0"/>
  </r>
  <r>
    <x v="714"/>
    <x v="0"/>
    <x v="0"/>
    <x v="2"/>
    <x v="1"/>
    <x v="0"/>
    <x v="3"/>
    <x v="2"/>
    <x v="0"/>
    <x v="0"/>
    <x v="2"/>
    <x v="2"/>
    <x v="2"/>
    <x v="26"/>
    <x v="1"/>
  </r>
  <r>
    <x v="715"/>
    <x v="0"/>
    <x v="0"/>
    <x v="0"/>
    <x v="0"/>
    <x v="10"/>
    <x v="0"/>
    <x v="4"/>
    <x v="2"/>
    <x v="0"/>
    <x v="0"/>
    <x v="1"/>
    <x v="2"/>
    <x v="34"/>
    <x v="1"/>
  </r>
  <r>
    <x v="716"/>
    <x v="1"/>
    <x v="1"/>
    <x v="0"/>
    <x v="0"/>
    <x v="2"/>
    <x v="3"/>
    <x v="4"/>
    <x v="0"/>
    <x v="1"/>
    <x v="0"/>
    <x v="0"/>
    <x v="2"/>
    <x v="8"/>
    <x v="0"/>
  </r>
  <r>
    <x v="717"/>
    <x v="1"/>
    <x v="1"/>
    <x v="2"/>
    <x v="1"/>
    <x v="8"/>
    <x v="5"/>
    <x v="0"/>
    <x v="4"/>
    <x v="0"/>
    <x v="1"/>
    <x v="3"/>
    <x v="2"/>
    <x v="13"/>
    <x v="1"/>
  </r>
  <r>
    <x v="718"/>
    <x v="0"/>
    <x v="0"/>
    <x v="2"/>
    <x v="1"/>
    <x v="3"/>
    <x v="5"/>
    <x v="4"/>
    <x v="2"/>
    <x v="0"/>
    <x v="0"/>
    <x v="1"/>
    <x v="2"/>
    <x v="4"/>
    <x v="1"/>
  </r>
  <r>
    <x v="719"/>
    <x v="0"/>
    <x v="0"/>
    <x v="0"/>
    <x v="0"/>
    <x v="3"/>
    <x v="2"/>
    <x v="4"/>
    <x v="2"/>
    <x v="0"/>
    <x v="2"/>
    <x v="0"/>
    <x v="2"/>
    <x v="34"/>
    <x v="0"/>
  </r>
  <r>
    <x v="720"/>
    <x v="1"/>
    <x v="1"/>
    <x v="0"/>
    <x v="0"/>
    <x v="0"/>
    <x v="2"/>
    <x v="2"/>
    <x v="2"/>
    <x v="1"/>
    <x v="4"/>
    <x v="1"/>
    <x v="2"/>
    <x v="2"/>
    <x v="1"/>
  </r>
  <r>
    <x v="721"/>
    <x v="1"/>
    <x v="1"/>
    <x v="2"/>
    <x v="1"/>
    <x v="15"/>
    <x v="5"/>
    <x v="0"/>
    <x v="4"/>
    <x v="0"/>
    <x v="3"/>
    <x v="2"/>
    <x v="2"/>
    <x v="0"/>
    <x v="1"/>
  </r>
  <r>
    <x v="722"/>
    <x v="1"/>
    <x v="1"/>
    <x v="0"/>
    <x v="0"/>
    <x v="3"/>
    <x v="1"/>
    <x v="4"/>
    <x v="4"/>
    <x v="1"/>
    <x v="2"/>
    <x v="3"/>
    <x v="2"/>
    <x v="39"/>
    <x v="0"/>
  </r>
  <r>
    <x v="723"/>
    <x v="1"/>
    <x v="1"/>
    <x v="0"/>
    <x v="0"/>
    <x v="2"/>
    <x v="4"/>
    <x v="3"/>
    <x v="0"/>
    <x v="0"/>
    <x v="2"/>
    <x v="2"/>
    <x v="2"/>
    <x v="38"/>
    <x v="0"/>
  </r>
  <r>
    <x v="724"/>
    <x v="0"/>
    <x v="0"/>
    <x v="2"/>
    <x v="1"/>
    <x v="1"/>
    <x v="4"/>
    <x v="2"/>
    <x v="0"/>
    <x v="0"/>
    <x v="2"/>
    <x v="3"/>
    <x v="2"/>
    <x v="38"/>
    <x v="0"/>
  </r>
  <r>
    <x v="725"/>
    <x v="0"/>
    <x v="0"/>
    <x v="2"/>
    <x v="1"/>
    <x v="12"/>
    <x v="4"/>
    <x v="4"/>
    <x v="4"/>
    <x v="0"/>
    <x v="4"/>
    <x v="0"/>
    <x v="2"/>
    <x v="0"/>
    <x v="1"/>
  </r>
  <r>
    <x v="726"/>
    <x v="0"/>
    <x v="0"/>
    <x v="2"/>
    <x v="1"/>
    <x v="6"/>
    <x v="4"/>
    <x v="2"/>
    <x v="3"/>
    <x v="1"/>
    <x v="2"/>
    <x v="0"/>
    <x v="2"/>
    <x v="39"/>
    <x v="0"/>
  </r>
  <r>
    <x v="727"/>
    <x v="0"/>
    <x v="0"/>
    <x v="2"/>
    <x v="1"/>
    <x v="3"/>
    <x v="0"/>
    <x v="4"/>
    <x v="2"/>
    <x v="0"/>
    <x v="1"/>
    <x v="0"/>
    <x v="2"/>
    <x v="30"/>
    <x v="1"/>
  </r>
  <r>
    <x v="728"/>
    <x v="0"/>
    <x v="0"/>
    <x v="2"/>
    <x v="1"/>
    <x v="0"/>
    <x v="3"/>
    <x v="2"/>
    <x v="0"/>
    <x v="0"/>
    <x v="2"/>
    <x v="2"/>
    <x v="2"/>
    <x v="40"/>
    <x v="0"/>
  </r>
  <r>
    <x v="729"/>
    <x v="0"/>
    <x v="0"/>
    <x v="0"/>
    <x v="0"/>
    <x v="10"/>
    <x v="1"/>
    <x v="0"/>
    <x v="2"/>
    <x v="0"/>
    <x v="1"/>
    <x v="0"/>
    <x v="2"/>
    <x v="28"/>
    <x v="1"/>
  </r>
  <r>
    <x v="730"/>
    <x v="1"/>
    <x v="1"/>
    <x v="0"/>
    <x v="0"/>
    <x v="10"/>
    <x v="5"/>
    <x v="0"/>
    <x v="0"/>
    <x v="0"/>
    <x v="2"/>
    <x v="1"/>
    <x v="2"/>
    <x v="3"/>
    <x v="1"/>
  </r>
  <r>
    <x v="731"/>
    <x v="0"/>
    <x v="0"/>
    <x v="2"/>
    <x v="1"/>
    <x v="10"/>
    <x v="4"/>
    <x v="2"/>
    <x v="2"/>
    <x v="1"/>
    <x v="2"/>
    <x v="3"/>
    <x v="2"/>
    <x v="38"/>
    <x v="1"/>
  </r>
  <r>
    <x v="732"/>
    <x v="1"/>
    <x v="1"/>
    <x v="0"/>
    <x v="0"/>
    <x v="10"/>
    <x v="3"/>
    <x v="4"/>
    <x v="2"/>
    <x v="0"/>
    <x v="1"/>
    <x v="1"/>
    <x v="2"/>
    <x v="13"/>
    <x v="1"/>
  </r>
  <r>
    <x v="733"/>
    <x v="1"/>
    <x v="1"/>
    <x v="2"/>
    <x v="1"/>
    <x v="12"/>
    <x v="0"/>
    <x v="0"/>
    <x v="4"/>
    <x v="1"/>
    <x v="3"/>
    <x v="0"/>
    <x v="2"/>
    <x v="20"/>
    <x v="0"/>
  </r>
  <r>
    <x v="734"/>
    <x v="1"/>
    <x v="1"/>
    <x v="0"/>
    <x v="0"/>
    <x v="12"/>
    <x v="0"/>
    <x v="0"/>
    <x v="4"/>
    <x v="1"/>
    <x v="4"/>
    <x v="0"/>
    <x v="2"/>
    <x v="12"/>
    <x v="1"/>
  </r>
  <r>
    <x v="735"/>
    <x v="1"/>
    <x v="1"/>
    <x v="0"/>
    <x v="0"/>
    <x v="1"/>
    <x v="3"/>
    <x v="1"/>
    <x v="0"/>
    <x v="0"/>
    <x v="1"/>
    <x v="2"/>
    <x v="2"/>
    <x v="22"/>
    <x v="0"/>
  </r>
  <r>
    <x v="736"/>
    <x v="0"/>
    <x v="0"/>
    <x v="2"/>
    <x v="1"/>
    <x v="0"/>
    <x v="3"/>
    <x v="2"/>
    <x v="0"/>
    <x v="0"/>
    <x v="1"/>
    <x v="2"/>
    <x v="2"/>
    <x v="23"/>
    <x v="0"/>
  </r>
  <r>
    <x v="737"/>
    <x v="0"/>
    <x v="0"/>
    <x v="2"/>
    <x v="1"/>
    <x v="3"/>
    <x v="4"/>
    <x v="3"/>
    <x v="0"/>
    <x v="1"/>
    <x v="2"/>
    <x v="3"/>
    <x v="2"/>
    <x v="38"/>
    <x v="0"/>
  </r>
  <r>
    <x v="738"/>
    <x v="1"/>
    <x v="1"/>
    <x v="0"/>
    <x v="0"/>
    <x v="0"/>
    <x v="4"/>
    <x v="1"/>
    <x v="1"/>
    <x v="1"/>
    <x v="1"/>
    <x v="3"/>
    <x v="2"/>
    <x v="15"/>
    <x v="1"/>
  </r>
  <r>
    <x v="739"/>
    <x v="0"/>
    <x v="0"/>
    <x v="0"/>
    <x v="0"/>
    <x v="10"/>
    <x v="4"/>
    <x v="1"/>
    <x v="2"/>
    <x v="0"/>
    <x v="1"/>
    <x v="4"/>
    <x v="2"/>
    <x v="10"/>
    <x v="0"/>
  </r>
  <r>
    <x v="740"/>
    <x v="0"/>
    <x v="0"/>
    <x v="2"/>
    <x v="1"/>
    <x v="0"/>
    <x v="5"/>
    <x v="1"/>
    <x v="1"/>
    <x v="1"/>
    <x v="0"/>
    <x v="0"/>
    <x v="2"/>
    <x v="25"/>
    <x v="0"/>
  </r>
  <r>
    <x v="741"/>
    <x v="0"/>
    <x v="0"/>
    <x v="0"/>
    <x v="0"/>
    <x v="0"/>
    <x v="0"/>
    <x v="1"/>
    <x v="1"/>
    <x v="0"/>
    <x v="1"/>
    <x v="3"/>
    <x v="2"/>
    <x v="28"/>
    <x v="1"/>
  </r>
  <r>
    <x v="742"/>
    <x v="1"/>
    <x v="1"/>
    <x v="2"/>
    <x v="1"/>
    <x v="1"/>
    <x v="3"/>
    <x v="2"/>
    <x v="0"/>
    <x v="0"/>
    <x v="2"/>
    <x v="2"/>
    <x v="2"/>
    <x v="25"/>
    <x v="0"/>
  </r>
  <r>
    <x v="743"/>
    <x v="0"/>
    <x v="0"/>
    <x v="2"/>
    <x v="1"/>
    <x v="15"/>
    <x v="0"/>
    <x v="0"/>
    <x v="4"/>
    <x v="0"/>
    <x v="4"/>
    <x v="2"/>
    <x v="2"/>
    <x v="12"/>
    <x v="0"/>
  </r>
  <r>
    <x v="744"/>
    <x v="0"/>
    <x v="0"/>
    <x v="0"/>
    <x v="0"/>
    <x v="3"/>
    <x v="5"/>
    <x v="1"/>
    <x v="2"/>
    <x v="0"/>
    <x v="1"/>
    <x v="4"/>
    <x v="2"/>
    <x v="16"/>
    <x v="0"/>
  </r>
  <r>
    <x v="745"/>
    <x v="0"/>
    <x v="0"/>
    <x v="2"/>
    <x v="1"/>
    <x v="10"/>
    <x v="5"/>
    <x v="4"/>
    <x v="0"/>
    <x v="0"/>
    <x v="0"/>
    <x v="3"/>
    <x v="2"/>
    <x v="15"/>
    <x v="1"/>
  </r>
  <r>
    <x v="746"/>
    <x v="0"/>
    <x v="0"/>
    <x v="0"/>
    <x v="0"/>
    <x v="10"/>
    <x v="4"/>
    <x v="0"/>
    <x v="4"/>
    <x v="0"/>
    <x v="0"/>
    <x v="4"/>
    <x v="2"/>
    <x v="16"/>
    <x v="0"/>
  </r>
  <r>
    <x v="747"/>
    <x v="1"/>
    <x v="1"/>
    <x v="0"/>
    <x v="0"/>
    <x v="3"/>
    <x v="0"/>
    <x v="0"/>
    <x v="2"/>
    <x v="1"/>
    <x v="1"/>
    <x v="0"/>
    <x v="2"/>
    <x v="20"/>
    <x v="0"/>
  </r>
  <r>
    <x v="748"/>
    <x v="0"/>
    <x v="0"/>
    <x v="2"/>
    <x v="1"/>
    <x v="12"/>
    <x v="4"/>
    <x v="4"/>
    <x v="4"/>
    <x v="0"/>
    <x v="4"/>
    <x v="1"/>
    <x v="2"/>
    <x v="45"/>
    <x v="0"/>
  </r>
  <r>
    <x v="749"/>
    <x v="0"/>
    <x v="0"/>
    <x v="0"/>
    <x v="0"/>
    <x v="3"/>
    <x v="4"/>
    <x v="1"/>
    <x v="2"/>
    <x v="0"/>
    <x v="1"/>
    <x v="1"/>
    <x v="2"/>
    <x v="14"/>
    <x v="0"/>
  </r>
  <r>
    <x v="750"/>
    <x v="0"/>
    <x v="0"/>
    <x v="2"/>
    <x v="1"/>
    <x v="1"/>
    <x v="4"/>
    <x v="2"/>
    <x v="0"/>
    <x v="0"/>
    <x v="2"/>
    <x v="3"/>
    <x v="2"/>
    <x v="5"/>
    <x v="0"/>
  </r>
  <r>
    <x v="751"/>
    <x v="0"/>
    <x v="0"/>
    <x v="2"/>
    <x v="1"/>
    <x v="10"/>
    <x v="0"/>
    <x v="4"/>
    <x v="2"/>
    <x v="0"/>
    <x v="0"/>
    <x v="1"/>
    <x v="2"/>
    <x v="4"/>
    <x v="0"/>
  </r>
  <r>
    <x v="752"/>
    <x v="0"/>
    <x v="0"/>
    <x v="2"/>
    <x v="1"/>
    <x v="10"/>
    <x v="3"/>
    <x v="1"/>
    <x v="2"/>
    <x v="0"/>
    <x v="2"/>
    <x v="2"/>
    <x v="2"/>
    <x v="21"/>
    <x v="0"/>
  </r>
  <r>
    <x v="753"/>
    <x v="1"/>
    <x v="1"/>
    <x v="0"/>
    <x v="0"/>
    <x v="0"/>
    <x v="3"/>
    <x v="1"/>
    <x v="0"/>
    <x v="1"/>
    <x v="1"/>
    <x v="3"/>
    <x v="2"/>
    <x v="40"/>
    <x v="0"/>
  </r>
  <r>
    <x v="754"/>
    <x v="0"/>
    <x v="0"/>
    <x v="0"/>
    <x v="0"/>
    <x v="0"/>
    <x v="5"/>
    <x v="2"/>
    <x v="2"/>
    <x v="0"/>
    <x v="2"/>
    <x v="2"/>
    <x v="2"/>
    <x v="14"/>
    <x v="1"/>
  </r>
  <r>
    <x v="755"/>
    <x v="0"/>
    <x v="0"/>
    <x v="2"/>
    <x v="1"/>
    <x v="10"/>
    <x v="1"/>
    <x v="2"/>
    <x v="2"/>
    <x v="1"/>
    <x v="2"/>
    <x v="1"/>
    <x v="2"/>
    <x v="39"/>
    <x v="0"/>
  </r>
  <r>
    <x v="756"/>
    <x v="0"/>
    <x v="0"/>
    <x v="2"/>
    <x v="1"/>
    <x v="0"/>
    <x v="0"/>
    <x v="0"/>
    <x v="0"/>
    <x v="1"/>
    <x v="1"/>
    <x v="0"/>
    <x v="2"/>
    <x v="4"/>
    <x v="1"/>
  </r>
  <r>
    <x v="757"/>
    <x v="1"/>
    <x v="1"/>
    <x v="2"/>
    <x v="1"/>
    <x v="1"/>
    <x v="0"/>
    <x v="2"/>
    <x v="1"/>
    <x v="0"/>
    <x v="2"/>
    <x v="3"/>
    <x v="2"/>
    <x v="36"/>
    <x v="1"/>
  </r>
  <r>
    <x v="758"/>
    <x v="1"/>
    <x v="1"/>
    <x v="0"/>
    <x v="0"/>
    <x v="2"/>
    <x v="2"/>
    <x v="4"/>
    <x v="0"/>
    <x v="1"/>
    <x v="0"/>
    <x v="0"/>
    <x v="2"/>
    <x v="15"/>
    <x v="0"/>
  </r>
  <r>
    <x v="759"/>
    <x v="1"/>
    <x v="1"/>
    <x v="0"/>
    <x v="0"/>
    <x v="10"/>
    <x v="1"/>
    <x v="4"/>
    <x v="2"/>
    <x v="0"/>
    <x v="0"/>
    <x v="1"/>
    <x v="2"/>
    <x v="1"/>
    <x v="1"/>
  </r>
  <r>
    <x v="760"/>
    <x v="1"/>
    <x v="1"/>
    <x v="2"/>
    <x v="1"/>
    <x v="6"/>
    <x v="1"/>
    <x v="3"/>
    <x v="1"/>
    <x v="1"/>
    <x v="2"/>
    <x v="0"/>
    <x v="2"/>
    <x v="5"/>
    <x v="0"/>
  </r>
  <r>
    <x v="761"/>
    <x v="0"/>
    <x v="0"/>
    <x v="0"/>
    <x v="0"/>
    <x v="10"/>
    <x v="2"/>
    <x v="0"/>
    <x v="4"/>
    <x v="0"/>
    <x v="4"/>
    <x v="4"/>
    <x v="2"/>
    <x v="14"/>
    <x v="0"/>
  </r>
  <r>
    <x v="762"/>
    <x v="1"/>
    <x v="1"/>
    <x v="2"/>
    <x v="1"/>
    <x v="14"/>
    <x v="4"/>
    <x v="0"/>
    <x v="0"/>
    <x v="0"/>
    <x v="0"/>
    <x v="1"/>
    <x v="2"/>
    <x v="34"/>
    <x v="1"/>
  </r>
  <r>
    <x v="763"/>
    <x v="0"/>
    <x v="0"/>
    <x v="2"/>
    <x v="1"/>
    <x v="14"/>
    <x v="0"/>
    <x v="4"/>
    <x v="0"/>
    <x v="0"/>
    <x v="0"/>
    <x v="0"/>
    <x v="2"/>
    <x v="6"/>
    <x v="1"/>
  </r>
  <r>
    <x v="764"/>
    <x v="0"/>
    <x v="0"/>
    <x v="0"/>
    <x v="0"/>
    <x v="10"/>
    <x v="3"/>
    <x v="1"/>
    <x v="0"/>
    <x v="1"/>
    <x v="1"/>
    <x v="3"/>
    <x v="2"/>
    <x v="40"/>
    <x v="0"/>
  </r>
  <r>
    <x v="765"/>
    <x v="1"/>
    <x v="1"/>
    <x v="0"/>
    <x v="0"/>
    <x v="3"/>
    <x v="3"/>
    <x v="1"/>
    <x v="0"/>
    <x v="0"/>
    <x v="2"/>
    <x v="2"/>
    <x v="2"/>
    <x v="17"/>
    <x v="1"/>
  </r>
  <r>
    <x v="766"/>
    <x v="0"/>
    <x v="0"/>
    <x v="2"/>
    <x v="1"/>
    <x v="14"/>
    <x v="5"/>
    <x v="0"/>
    <x v="0"/>
    <x v="0"/>
    <x v="4"/>
    <x v="4"/>
    <x v="2"/>
    <x v="0"/>
    <x v="0"/>
  </r>
  <r>
    <x v="767"/>
    <x v="0"/>
    <x v="0"/>
    <x v="0"/>
    <x v="0"/>
    <x v="10"/>
    <x v="4"/>
    <x v="1"/>
    <x v="2"/>
    <x v="0"/>
    <x v="2"/>
    <x v="1"/>
    <x v="2"/>
    <x v="42"/>
    <x v="1"/>
  </r>
  <r>
    <x v="768"/>
    <x v="0"/>
    <x v="0"/>
    <x v="0"/>
    <x v="0"/>
    <x v="7"/>
    <x v="0"/>
    <x v="2"/>
    <x v="2"/>
    <x v="1"/>
    <x v="3"/>
    <x v="1"/>
    <x v="2"/>
    <x v="12"/>
    <x v="0"/>
  </r>
  <r>
    <x v="769"/>
    <x v="0"/>
    <x v="0"/>
    <x v="0"/>
    <x v="0"/>
    <x v="11"/>
    <x v="5"/>
    <x v="0"/>
    <x v="4"/>
    <x v="0"/>
    <x v="3"/>
    <x v="0"/>
    <x v="2"/>
    <x v="8"/>
    <x v="0"/>
  </r>
  <r>
    <x v="770"/>
    <x v="0"/>
    <x v="0"/>
    <x v="2"/>
    <x v="1"/>
    <x v="10"/>
    <x v="0"/>
    <x v="4"/>
    <x v="0"/>
    <x v="1"/>
    <x v="0"/>
    <x v="0"/>
    <x v="2"/>
    <x v="10"/>
    <x v="0"/>
  </r>
  <r>
    <x v="771"/>
    <x v="0"/>
    <x v="0"/>
    <x v="2"/>
    <x v="1"/>
    <x v="2"/>
    <x v="0"/>
    <x v="1"/>
    <x v="0"/>
    <x v="1"/>
    <x v="1"/>
    <x v="0"/>
    <x v="2"/>
    <x v="15"/>
    <x v="1"/>
  </r>
  <r>
    <x v="772"/>
    <x v="1"/>
    <x v="1"/>
    <x v="2"/>
    <x v="1"/>
    <x v="10"/>
    <x v="5"/>
    <x v="4"/>
    <x v="0"/>
    <x v="0"/>
    <x v="0"/>
    <x v="3"/>
    <x v="2"/>
    <x v="15"/>
    <x v="1"/>
  </r>
  <r>
    <x v="773"/>
    <x v="0"/>
    <x v="0"/>
    <x v="0"/>
    <x v="0"/>
    <x v="10"/>
    <x v="0"/>
    <x v="4"/>
    <x v="0"/>
    <x v="0"/>
    <x v="0"/>
    <x v="0"/>
    <x v="2"/>
    <x v="17"/>
    <x v="0"/>
  </r>
  <r>
    <x v="774"/>
    <x v="0"/>
    <x v="0"/>
    <x v="0"/>
    <x v="0"/>
    <x v="2"/>
    <x v="1"/>
    <x v="4"/>
    <x v="2"/>
    <x v="0"/>
    <x v="0"/>
    <x v="0"/>
    <x v="2"/>
    <x v="4"/>
    <x v="1"/>
  </r>
  <r>
    <x v="775"/>
    <x v="0"/>
    <x v="0"/>
    <x v="2"/>
    <x v="1"/>
    <x v="3"/>
    <x v="4"/>
    <x v="3"/>
    <x v="0"/>
    <x v="0"/>
    <x v="2"/>
    <x v="4"/>
    <x v="2"/>
    <x v="9"/>
    <x v="0"/>
  </r>
  <r>
    <x v="776"/>
    <x v="1"/>
    <x v="1"/>
    <x v="2"/>
    <x v="1"/>
    <x v="3"/>
    <x v="4"/>
    <x v="0"/>
    <x v="4"/>
    <x v="1"/>
    <x v="1"/>
    <x v="1"/>
    <x v="2"/>
    <x v="14"/>
    <x v="1"/>
  </r>
  <r>
    <x v="777"/>
    <x v="1"/>
    <x v="1"/>
    <x v="2"/>
    <x v="1"/>
    <x v="0"/>
    <x v="3"/>
    <x v="2"/>
    <x v="0"/>
    <x v="0"/>
    <x v="2"/>
    <x v="2"/>
    <x v="2"/>
    <x v="40"/>
    <x v="0"/>
  </r>
  <r>
    <x v="778"/>
    <x v="0"/>
    <x v="0"/>
    <x v="2"/>
    <x v="1"/>
    <x v="8"/>
    <x v="2"/>
    <x v="1"/>
    <x v="2"/>
    <x v="0"/>
    <x v="4"/>
    <x v="0"/>
    <x v="2"/>
    <x v="3"/>
    <x v="0"/>
  </r>
  <r>
    <x v="779"/>
    <x v="0"/>
    <x v="0"/>
    <x v="2"/>
    <x v="1"/>
    <x v="2"/>
    <x v="1"/>
    <x v="1"/>
    <x v="2"/>
    <x v="1"/>
    <x v="2"/>
    <x v="1"/>
    <x v="2"/>
    <x v="5"/>
    <x v="1"/>
  </r>
  <r>
    <x v="780"/>
    <x v="0"/>
    <x v="0"/>
    <x v="0"/>
    <x v="0"/>
    <x v="10"/>
    <x v="4"/>
    <x v="1"/>
    <x v="2"/>
    <x v="0"/>
    <x v="1"/>
    <x v="4"/>
    <x v="2"/>
    <x v="10"/>
    <x v="0"/>
  </r>
  <r>
    <x v="781"/>
    <x v="0"/>
    <x v="0"/>
    <x v="2"/>
    <x v="1"/>
    <x v="2"/>
    <x v="5"/>
    <x v="0"/>
    <x v="4"/>
    <x v="0"/>
    <x v="0"/>
    <x v="0"/>
    <x v="2"/>
    <x v="1"/>
    <x v="0"/>
  </r>
  <r>
    <x v="782"/>
    <x v="1"/>
    <x v="1"/>
    <x v="2"/>
    <x v="1"/>
    <x v="3"/>
    <x v="5"/>
    <x v="0"/>
    <x v="2"/>
    <x v="0"/>
    <x v="2"/>
    <x v="1"/>
    <x v="2"/>
    <x v="1"/>
    <x v="1"/>
  </r>
  <r>
    <x v="783"/>
    <x v="0"/>
    <x v="0"/>
    <x v="2"/>
    <x v="1"/>
    <x v="10"/>
    <x v="5"/>
    <x v="0"/>
    <x v="0"/>
    <x v="0"/>
    <x v="4"/>
    <x v="2"/>
    <x v="2"/>
    <x v="0"/>
    <x v="0"/>
  </r>
  <r>
    <x v="784"/>
    <x v="1"/>
    <x v="1"/>
    <x v="0"/>
    <x v="0"/>
    <x v="4"/>
    <x v="4"/>
    <x v="2"/>
    <x v="3"/>
    <x v="0"/>
    <x v="2"/>
    <x v="3"/>
    <x v="2"/>
    <x v="39"/>
    <x v="1"/>
  </r>
  <r>
    <x v="785"/>
    <x v="1"/>
    <x v="1"/>
    <x v="0"/>
    <x v="0"/>
    <x v="0"/>
    <x v="3"/>
    <x v="2"/>
    <x v="0"/>
    <x v="1"/>
    <x v="2"/>
    <x v="0"/>
    <x v="2"/>
    <x v="26"/>
    <x v="1"/>
  </r>
  <r>
    <x v="786"/>
    <x v="0"/>
    <x v="0"/>
    <x v="0"/>
    <x v="0"/>
    <x v="14"/>
    <x v="0"/>
    <x v="0"/>
    <x v="0"/>
    <x v="0"/>
    <x v="1"/>
    <x v="0"/>
    <x v="2"/>
    <x v="11"/>
    <x v="0"/>
  </r>
  <r>
    <x v="787"/>
    <x v="1"/>
    <x v="1"/>
    <x v="0"/>
    <x v="0"/>
    <x v="3"/>
    <x v="4"/>
    <x v="0"/>
    <x v="4"/>
    <x v="1"/>
    <x v="1"/>
    <x v="1"/>
    <x v="2"/>
    <x v="14"/>
    <x v="1"/>
  </r>
  <r>
    <x v="788"/>
    <x v="1"/>
    <x v="1"/>
    <x v="0"/>
    <x v="0"/>
    <x v="6"/>
    <x v="4"/>
    <x v="3"/>
    <x v="1"/>
    <x v="0"/>
    <x v="2"/>
    <x v="3"/>
    <x v="2"/>
    <x v="38"/>
    <x v="0"/>
  </r>
  <r>
    <x v="789"/>
    <x v="0"/>
    <x v="0"/>
    <x v="2"/>
    <x v="1"/>
    <x v="10"/>
    <x v="4"/>
    <x v="2"/>
    <x v="2"/>
    <x v="1"/>
    <x v="2"/>
    <x v="3"/>
    <x v="2"/>
    <x v="28"/>
    <x v="1"/>
  </r>
  <r>
    <x v="790"/>
    <x v="1"/>
    <x v="1"/>
    <x v="0"/>
    <x v="0"/>
    <x v="2"/>
    <x v="4"/>
    <x v="3"/>
    <x v="0"/>
    <x v="1"/>
    <x v="2"/>
    <x v="3"/>
    <x v="2"/>
    <x v="5"/>
    <x v="0"/>
  </r>
  <r>
    <x v="791"/>
    <x v="0"/>
    <x v="0"/>
    <x v="2"/>
    <x v="1"/>
    <x v="0"/>
    <x v="3"/>
    <x v="2"/>
    <x v="0"/>
    <x v="0"/>
    <x v="2"/>
    <x v="2"/>
    <x v="2"/>
    <x v="26"/>
    <x v="1"/>
  </r>
  <r>
    <x v="792"/>
    <x v="1"/>
    <x v="1"/>
    <x v="2"/>
    <x v="1"/>
    <x v="1"/>
    <x v="0"/>
    <x v="2"/>
    <x v="1"/>
    <x v="1"/>
    <x v="1"/>
    <x v="2"/>
    <x v="2"/>
    <x v="31"/>
    <x v="0"/>
  </r>
  <r>
    <x v="793"/>
    <x v="0"/>
    <x v="0"/>
    <x v="2"/>
    <x v="1"/>
    <x v="1"/>
    <x v="0"/>
    <x v="2"/>
    <x v="1"/>
    <x v="0"/>
    <x v="1"/>
    <x v="1"/>
    <x v="2"/>
    <x v="31"/>
    <x v="1"/>
  </r>
  <r>
    <x v="794"/>
    <x v="0"/>
    <x v="0"/>
    <x v="2"/>
    <x v="1"/>
    <x v="14"/>
    <x v="4"/>
    <x v="4"/>
    <x v="4"/>
    <x v="0"/>
    <x v="2"/>
    <x v="2"/>
    <x v="2"/>
    <x v="45"/>
    <x v="0"/>
  </r>
  <r>
    <x v="795"/>
    <x v="1"/>
    <x v="1"/>
    <x v="2"/>
    <x v="1"/>
    <x v="10"/>
    <x v="4"/>
    <x v="2"/>
    <x v="2"/>
    <x v="0"/>
    <x v="2"/>
    <x v="2"/>
    <x v="2"/>
    <x v="36"/>
    <x v="0"/>
  </r>
  <r>
    <x v="796"/>
    <x v="0"/>
    <x v="0"/>
    <x v="2"/>
    <x v="1"/>
    <x v="3"/>
    <x v="2"/>
    <x v="1"/>
    <x v="2"/>
    <x v="0"/>
    <x v="2"/>
    <x v="3"/>
    <x v="2"/>
    <x v="42"/>
    <x v="1"/>
  </r>
  <r>
    <x v="797"/>
    <x v="1"/>
    <x v="1"/>
    <x v="2"/>
    <x v="1"/>
    <x v="10"/>
    <x v="3"/>
    <x v="1"/>
    <x v="0"/>
    <x v="0"/>
    <x v="1"/>
    <x v="2"/>
    <x v="2"/>
    <x v="40"/>
    <x v="1"/>
  </r>
  <r>
    <x v="798"/>
    <x v="1"/>
    <x v="1"/>
    <x v="0"/>
    <x v="0"/>
    <x v="1"/>
    <x v="3"/>
    <x v="2"/>
    <x v="0"/>
    <x v="1"/>
    <x v="2"/>
    <x v="0"/>
    <x v="2"/>
    <x v="37"/>
    <x v="1"/>
  </r>
  <r>
    <x v="799"/>
    <x v="1"/>
    <x v="1"/>
    <x v="0"/>
    <x v="0"/>
    <x v="14"/>
    <x v="0"/>
    <x v="4"/>
    <x v="0"/>
    <x v="0"/>
    <x v="0"/>
    <x v="3"/>
    <x v="2"/>
    <x v="6"/>
    <x v="1"/>
  </r>
  <r>
    <x v="800"/>
    <x v="1"/>
    <x v="1"/>
    <x v="2"/>
    <x v="1"/>
    <x v="10"/>
    <x v="5"/>
    <x v="0"/>
    <x v="2"/>
    <x v="0"/>
    <x v="2"/>
    <x v="1"/>
    <x v="2"/>
    <x v="1"/>
    <x v="1"/>
  </r>
  <r>
    <x v="801"/>
    <x v="0"/>
    <x v="0"/>
    <x v="2"/>
    <x v="1"/>
    <x v="3"/>
    <x v="5"/>
    <x v="4"/>
    <x v="4"/>
    <x v="0"/>
    <x v="2"/>
    <x v="2"/>
    <x v="2"/>
    <x v="49"/>
    <x v="0"/>
  </r>
  <r>
    <x v="802"/>
    <x v="0"/>
    <x v="0"/>
    <x v="2"/>
    <x v="1"/>
    <x v="0"/>
    <x v="3"/>
    <x v="1"/>
    <x v="0"/>
    <x v="0"/>
    <x v="1"/>
    <x v="2"/>
    <x v="2"/>
    <x v="40"/>
    <x v="0"/>
  </r>
  <r>
    <x v="803"/>
    <x v="0"/>
    <x v="0"/>
    <x v="2"/>
    <x v="1"/>
    <x v="0"/>
    <x v="3"/>
    <x v="2"/>
    <x v="0"/>
    <x v="0"/>
    <x v="2"/>
    <x v="2"/>
    <x v="2"/>
    <x v="26"/>
    <x v="1"/>
  </r>
  <r>
    <x v="804"/>
    <x v="0"/>
    <x v="0"/>
    <x v="2"/>
    <x v="1"/>
    <x v="0"/>
    <x v="3"/>
    <x v="2"/>
    <x v="0"/>
    <x v="1"/>
    <x v="2"/>
    <x v="0"/>
    <x v="2"/>
    <x v="40"/>
    <x v="1"/>
  </r>
  <r>
    <x v="805"/>
    <x v="1"/>
    <x v="1"/>
    <x v="0"/>
    <x v="0"/>
    <x v="0"/>
    <x v="3"/>
    <x v="2"/>
    <x v="0"/>
    <x v="0"/>
    <x v="2"/>
    <x v="2"/>
    <x v="2"/>
    <x v="23"/>
    <x v="0"/>
  </r>
  <r>
    <x v="806"/>
    <x v="0"/>
    <x v="0"/>
    <x v="0"/>
    <x v="0"/>
    <x v="4"/>
    <x v="4"/>
    <x v="2"/>
    <x v="3"/>
    <x v="0"/>
    <x v="2"/>
    <x v="3"/>
    <x v="2"/>
    <x v="39"/>
    <x v="0"/>
  </r>
  <r>
    <x v="807"/>
    <x v="1"/>
    <x v="1"/>
    <x v="0"/>
    <x v="0"/>
    <x v="10"/>
    <x v="3"/>
    <x v="1"/>
    <x v="2"/>
    <x v="1"/>
    <x v="2"/>
    <x v="3"/>
    <x v="2"/>
    <x v="21"/>
    <x v="1"/>
  </r>
  <r>
    <x v="808"/>
    <x v="1"/>
    <x v="1"/>
    <x v="2"/>
    <x v="1"/>
    <x v="1"/>
    <x v="4"/>
    <x v="2"/>
    <x v="0"/>
    <x v="0"/>
    <x v="2"/>
    <x v="3"/>
    <x v="2"/>
    <x v="5"/>
    <x v="1"/>
  </r>
  <r>
    <x v="809"/>
    <x v="0"/>
    <x v="0"/>
    <x v="0"/>
    <x v="0"/>
    <x v="0"/>
    <x v="5"/>
    <x v="2"/>
    <x v="2"/>
    <x v="0"/>
    <x v="2"/>
    <x v="2"/>
    <x v="2"/>
    <x v="45"/>
    <x v="0"/>
  </r>
  <r>
    <x v="810"/>
    <x v="1"/>
    <x v="1"/>
    <x v="0"/>
    <x v="0"/>
    <x v="3"/>
    <x v="1"/>
    <x v="4"/>
    <x v="4"/>
    <x v="0"/>
    <x v="2"/>
    <x v="2"/>
    <x v="2"/>
    <x v="31"/>
    <x v="1"/>
  </r>
  <r>
    <x v="811"/>
    <x v="0"/>
    <x v="0"/>
    <x v="2"/>
    <x v="1"/>
    <x v="10"/>
    <x v="3"/>
    <x v="1"/>
    <x v="0"/>
    <x v="1"/>
    <x v="2"/>
    <x v="3"/>
    <x v="2"/>
    <x v="23"/>
    <x v="0"/>
  </r>
  <r>
    <x v="812"/>
    <x v="1"/>
    <x v="1"/>
    <x v="0"/>
    <x v="0"/>
    <x v="3"/>
    <x v="5"/>
    <x v="0"/>
    <x v="4"/>
    <x v="0"/>
    <x v="2"/>
    <x v="4"/>
    <x v="2"/>
    <x v="33"/>
    <x v="0"/>
  </r>
  <r>
    <x v="813"/>
    <x v="0"/>
    <x v="0"/>
    <x v="0"/>
    <x v="0"/>
    <x v="3"/>
    <x v="4"/>
    <x v="2"/>
    <x v="2"/>
    <x v="0"/>
    <x v="2"/>
    <x v="4"/>
    <x v="2"/>
    <x v="39"/>
    <x v="0"/>
  </r>
  <r>
    <x v="814"/>
    <x v="1"/>
    <x v="1"/>
    <x v="0"/>
    <x v="0"/>
    <x v="3"/>
    <x v="5"/>
    <x v="0"/>
    <x v="4"/>
    <x v="0"/>
    <x v="2"/>
    <x v="3"/>
    <x v="2"/>
    <x v="24"/>
    <x v="1"/>
  </r>
  <r>
    <x v="815"/>
    <x v="0"/>
    <x v="0"/>
    <x v="2"/>
    <x v="1"/>
    <x v="0"/>
    <x v="3"/>
    <x v="1"/>
    <x v="0"/>
    <x v="1"/>
    <x v="2"/>
    <x v="3"/>
    <x v="2"/>
    <x v="25"/>
    <x v="0"/>
  </r>
  <r>
    <x v="816"/>
    <x v="0"/>
    <x v="0"/>
    <x v="0"/>
    <x v="0"/>
    <x v="10"/>
    <x v="1"/>
    <x v="4"/>
    <x v="2"/>
    <x v="0"/>
    <x v="0"/>
    <x v="1"/>
    <x v="2"/>
    <x v="1"/>
    <x v="1"/>
  </r>
  <r>
    <x v="817"/>
    <x v="0"/>
    <x v="0"/>
    <x v="0"/>
    <x v="0"/>
    <x v="10"/>
    <x v="1"/>
    <x v="4"/>
    <x v="2"/>
    <x v="0"/>
    <x v="0"/>
    <x v="1"/>
    <x v="2"/>
    <x v="0"/>
    <x v="1"/>
  </r>
  <r>
    <x v="818"/>
    <x v="0"/>
    <x v="0"/>
    <x v="2"/>
    <x v="1"/>
    <x v="0"/>
    <x v="3"/>
    <x v="1"/>
    <x v="0"/>
    <x v="0"/>
    <x v="1"/>
    <x v="2"/>
    <x v="2"/>
    <x v="25"/>
    <x v="0"/>
  </r>
  <r>
    <x v="819"/>
    <x v="1"/>
    <x v="1"/>
    <x v="0"/>
    <x v="0"/>
    <x v="0"/>
    <x v="3"/>
    <x v="2"/>
    <x v="0"/>
    <x v="0"/>
    <x v="2"/>
    <x v="2"/>
    <x v="2"/>
    <x v="25"/>
    <x v="0"/>
  </r>
  <r>
    <x v="820"/>
    <x v="1"/>
    <x v="1"/>
    <x v="2"/>
    <x v="1"/>
    <x v="15"/>
    <x v="0"/>
    <x v="0"/>
    <x v="4"/>
    <x v="0"/>
    <x v="1"/>
    <x v="2"/>
    <x v="2"/>
    <x v="1"/>
    <x v="0"/>
  </r>
  <r>
    <x v="821"/>
    <x v="0"/>
    <x v="0"/>
    <x v="2"/>
    <x v="1"/>
    <x v="10"/>
    <x v="3"/>
    <x v="1"/>
    <x v="0"/>
    <x v="0"/>
    <x v="2"/>
    <x v="2"/>
    <x v="2"/>
    <x v="6"/>
    <x v="1"/>
  </r>
  <r>
    <x v="822"/>
    <x v="0"/>
    <x v="0"/>
    <x v="2"/>
    <x v="1"/>
    <x v="1"/>
    <x v="3"/>
    <x v="2"/>
    <x v="0"/>
    <x v="0"/>
    <x v="2"/>
    <x v="2"/>
    <x v="2"/>
    <x v="21"/>
    <x v="0"/>
  </r>
  <r>
    <x v="823"/>
    <x v="1"/>
    <x v="1"/>
    <x v="0"/>
    <x v="0"/>
    <x v="3"/>
    <x v="5"/>
    <x v="2"/>
    <x v="2"/>
    <x v="0"/>
    <x v="0"/>
    <x v="2"/>
    <x v="2"/>
    <x v="5"/>
    <x v="1"/>
  </r>
  <r>
    <x v="824"/>
    <x v="1"/>
    <x v="1"/>
    <x v="2"/>
    <x v="1"/>
    <x v="15"/>
    <x v="4"/>
    <x v="0"/>
    <x v="4"/>
    <x v="1"/>
    <x v="4"/>
    <x v="0"/>
    <x v="2"/>
    <x v="34"/>
    <x v="1"/>
  </r>
  <r>
    <x v="825"/>
    <x v="0"/>
    <x v="0"/>
    <x v="2"/>
    <x v="1"/>
    <x v="3"/>
    <x v="1"/>
    <x v="2"/>
    <x v="2"/>
    <x v="1"/>
    <x v="1"/>
    <x v="3"/>
    <x v="2"/>
    <x v="31"/>
    <x v="1"/>
  </r>
  <r>
    <x v="826"/>
    <x v="0"/>
    <x v="0"/>
    <x v="2"/>
    <x v="1"/>
    <x v="3"/>
    <x v="5"/>
    <x v="4"/>
    <x v="2"/>
    <x v="0"/>
    <x v="0"/>
    <x v="1"/>
    <x v="2"/>
    <x v="4"/>
    <x v="1"/>
  </r>
  <r>
    <x v="827"/>
    <x v="1"/>
    <x v="1"/>
    <x v="0"/>
    <x v="0"/>
    <x v="2"/>
    <x v="1"/>
    <x v="0"/>
    <x v="0"/>
    <x v="0"/>
    <x v="2"/>
    <x v="1"/>
    <x v="2"/>
    <x v="3"/>
    <x v="1"/>
  </r>
  <r>
    <x v="828"/>
    <x v="1"/>
    <x v="1"/>
    <x v="0"/>
    <x v="0"/>
    <x v="0"/>
    <x v="3"/>
    <x v="3"/>
    <x v="1"/>
    <x v="0"/>
    <x v="2"/>
    <x v="2"/>
    <x v="2"/>
    <x v="22"/>
    <x v="0"/>
  </r>
  <r>
    <x v="829"/>
    <x v="1"/>
    <x v="1"/>
    <x v="2"/>
    <x v="1"/>
    <x v="9"/>
    <x v="0"/>
    <x v="4"/>
    <x v="4"/>
    <x v="1"/>
    <x v="3"/>
    <x v="0"/>
    <x v="2"/>
    <x v="29"/>
    <x v="0"/>
  </r>
  <r>
    <x v="830"/>
    <x v="0"/>
    <x v="0"/>
    <x v="2"/>
    <x v="1"/>
    <x v="10"/>
    <x v="4"/>
    <x v="2"/>
    <x v="2"/>
    <x v="1"/>
    <x v="2"/>
    <x v="2"/>
    <x v="2"/>
    <x v="36"/>
    <x v="0"/>
  </r>
  <r>
    <x v="831"/>
    <x v="0"/>
    <x v="0"/>
    <x v="0"/>
    <x v="0"/>
    <x v="3"/>
    <x v="5"/>
    <x v="0"/>
    <x v="2"/>
    <x v="0"/>
    <x v="2"/>
    <x v="0"/>
    <x v="2"/>
    <x v="1"/>
    <x v="1"/>
  </r>
  <r>
    <x v="832"/>
    <x v="0"/>
    <x v="0"/>
    <x v="0"/>
    <x v="0"/>
    <x v="10"/>
    <x v="3"/>
    <x v="4"/>
    <x v="2"/>
    <x v="0"/>
    <x v="0"/>
    <x v="0"/>
    <x v="2"/>
    <x v="32"/>
    <x v="0"/>
  </r>
  <r>
    <x v="833"/>
    <x v="1"/>
    <x v="1"/>
    <x v="0"/>
    <x v="0"/>
    <x v="3"/>
    <x v="3"/>
    <x v="0"/>
    <x v="2"/>
    <x v="1"/>
    <x v="1"/>
    <x v="0"/>
    <x v="2"/>
    <x v="34"/>
    <x v="1"/>
  </r>
  <r>
    <x v="834"/>
    <x v="1"/>
    <x v="1"/>
    <x v="0"/>
    <x v="0"/>
    <x v="3"/>
    <x v="4"/>
    <x v="3"/>
    <x v="0"/>
    <x v="1"/>
    <x v="2"/>
    <x v="1"/>
    <x v="2"/>
    <x v="9"/>
    <x v="1"/>
  </r>
  <r>
    <x v="835"/>
    <x v="1"/>
    <x v="1"/>
    <x v="0"/>
    <x v="0"/>
    <x v="10"/>
    <x v="1"/>
    <x v="0"/>
    <x v="0"/>
    <x v="0"/>
    <x v="0"/>
    <x v="1"/>
    <x v="2"/>
    <x v="8"/>
    <x v="1"/>
  </r>
  <r>
    <x v="836"/>
    <x v="0"/>
    <x v="0"/>
    <x v="0"/>
    <x v="0"/>
    <x v="0"/>
    <x v="3"/>
    <x v="1"/>
    <x v="0"/>
    <x v="0"/>
    <x v="2"/>
    <x v="2"/>
    <x v="2"/>
    <x v="26"/>
    <x v="0"/>
  </r>
  <r>
    <x v="837"/>
    <x v="0"/>
    <x v="0"/>
    <x v="2"/>
    <x v="1"/>
    <x v="10"/>
    <x v="0"/>
    <x v="4"/>
    <x v="0"/>
    <x v="0"/>
    <x v="0"/>
    <x v="0"/>
    <x v="2"/>
    <x v="6"/>
    <x v="0"/>
  </r>
  <r>
    <x v="838"/>
    <x v="1"/>
    <x v="1"/>
    <x v="0"/>
    <x v="0"/>
    <x v="2"/>
    <x v="1"/>
    <x v="0"/>
    <x v="0"/>
    <x v="0"/>
    <x v="2"/>
    <x v="1"/>
    <x v="2"/>
    <x v="3"/>
    <x v="1"/>
  </r>
  <r>
    <x v="839"/>
    <x v="1"/>
    <x v="1"/>
    <x v="0"/>
    <x v="0"/>
    <x v="2"/>
    <x v="1"/>
    <x v="4"/>
    <x v="2"/>
    <x v="0"/>
    <x v="0"/>
    <x v="0"/>
    <x v="2"/>
    <x v="34"/>
    <x v="1"/>
  </r>
  <r>
    <x v="840"/>
    <x v="0"/>
    <x v="0"/>
    <x v="2"/>
    <x v="1"/>
    <x v="3"/>
    <x v="5"/>
    <x v="1"/>
    <x v="2"/>
    <x v="0"/>
    <x v="2"/>
    <x v="4"/>
    <x v="2"/>
    <x v="39"/>
    <x v="0"/>
  </r>
  <r>
    <x v="841"/>
    <x v="0"/>
    <x v="0"/>
    <x v="2"/>
    <x v="1"/>
    <x v="7"/>
    <x v="4"/>
    <x v="4"/>
    <x v="4"/>
    <x v="0"/>
    <x v="4"/>
    <x v="2"/>
    <x v="2"/>
    <x v="46"/>
    <x v="0"/>
  </r>
  <r>
    <x v="842"/>
    <x v="0"/>
    <x v="0"/>
    <x v="0"/>
    <x v="0"/>
    <x v="10"/>
    <x v="0"/>
    <x v="1"/>
    <x v="0"/>
    <x v="0"/>
    <x v="1"/>
    <x v="1"/>
    <x v="2"/>
    <x v="12"/>
    <x v="1"/>
  </r>
  <r>
    <x v="843"/>
    <x v="1"/>
    <x v="1"/>
    <x v="2"/>
    <x v="1"/>
    <x v="2"/>
    <x v="4"/>
    <x v="3"/>
    <x v="0"/>
    <x v="1"/>
    <x v="2"/>
    <x v="3"/>
    <x v="2"/>
    <x v="31"/>
    <x v="0"/>
  </r>
  <r>
    <x v="844"/>
    <x v="0"/>
    <x v="0"/>
    <x v="0"/>
    <x v="0"/>
    <x v="0"/>
    <x v="2"/>
    <x v="2"/>
    <x v="2"/>
    <x v="0"/>
    <x v="2"/>
    <x v="4"/>
    <x v="2"/>
    <x v="2"/>
    <x v="0"/>
  </r>
  <r>
    <x v="845"/>
    <x v="1"/>
    <x v="1"/>
    <x v="0"/>
    <x v="0"/>
    <x v="6"/>
    <x v="1"/>
    <x v="3"/>
    <x v="1"/>
    <x v="0"/>
    <x v="2"/>
    <x v="3"/>
    <x v="2"/>
    <x v="5"/>
    <x v="0"/>
  </r>
  <r>
    <x v="846"/>
    <x v="0"/>
    <x v="0"/>
    <x v="0"/>
    <x v="0"/>
    <x v="3"/>
    <x v="5"/>
    <x v="1"/>
    <x v="2"/>
    <x v="1"/>
    <x v="1"/>
    <x v="3"/>
    <x v="2"/>
    <x v="16"/>
    <x v="0"/>
  </r>
  <r>
    <x v="847"/>
    <x v="1"/>
    <x v="1"/>
    <x v="0"/>
    <x v="0"/>
    <x v="0"/>
    <x v="3"/>
    <x v="3"/>
    <x v="1"/>
    <x v="0"/>
    <x v="2"/>
    <x v="2"/>
    <x v="2"/>
    <x v="19"/>
    <x v="0"/>
  </r>
  <r>
    <x v="848"/>
    <x v="1"/>
    <x v="1"/>
    <x v="2"/>
    <x v="1"/>
    <x v="12"/>
    <x v="3"/>
    <x v="4"/>
    <x v="4"/>
    <x v="1"/>
    <x v="2"/>
    <x v="0"/>
    <x v="2"/>
    <x v="13"/>
    <x v="1"/>
  </r>
  <r>
    <x v="849"/>
    <x v="0"/>
    <x v="0"/>
    <x v="0"/>
    <x v="0"/>
    <x v="0"/>
    <x v="2"/>
    <x v="2"/>
    <x v="2"/>
    <x v="1"/>
    <x v="2"/>
    <x v="1"/>
    <x v="2"/>
    <x v="2"/>
    <x v="0"/>
  </r>
  <r>
    <x v="850"/>
    <x v="1"/>
    <x v="1"/>
    <x v="0"/>
    <x v="0"/>
    <x v="12"/>
    <x v="4"/>
    <x v="0"/>
    <x v="4"/>
    <x v="1"/>
    <x v="3"/>
    <x v="0"/>
    <x v="2"/>
    <x v="41"/>
    <x v="0"/>
  </r>
  <r>
    <x v="851"/>
    <x v="0"/>
    <x v="0"/>
    <x v="2"/>
    <x v="1"/>
    <x v="10"/>
    <x v="3"/>
    <x v="1"/>
    <x v="0"/>
    <x v="0"/>
    <x v="1"/>
    <x v="2"/>
    <x v="2"/>
    <x v="21"/>
    <x v="1"/>
  </r>
  <r>
    <x v="852"/>
    <x v="1"/>
    <x v="1"/>
    <x v="2"/>
    <x v="1"/>
    <x v="14"/>
    <x v="4"/>
    <x v="0"/>
    <x v="0"/>
    <x v="1"/>
    <x v="1"/>
    <x v="0"/>
    <x v="2"/>
    <x v="32"/>
    <x v="1"/>
  </r>
  <r>
    <x v="853"/>
    <x v="1"/>
    <x v="1"/>
    <x v="2"/>
    <x v="1"/>
    <x v="10"/>
    <x v="0"/>
    <x v="4"/>
    <x v="2"/>
    <x v="0"/>
    <x v="0"/>
    <x v="1"/>
    <x v="2"/>
    <x v="11"/>
    <x v="1"/>
  </r>
  <r>
    <x v="854"/>
    <x v="0"/>
    <x v="0"/>
    <x v="0"/>
    <x v="0"/>
    <x v="10"/>
    <x v="3"/>
    <x v="1"/>
    <x v="2"/>
    <x v="0"/>
    <x v="2"/>
    <x v="2"/>
    <x v="2"/>
    <x v="21"/>
    <x v="0"/>
  </r>
  <r>
    <x v="855"/>
    <x v="1"/>
    <x v="1"/>
    <x v="0"/>
    <x v="0"/>
    <x v="1"/>
    <x v="3"/>
    <x v="1"/>
    <x v="0"/>
    <x v="1"/>
    <x v="1"/>
    <x v="3"/>
    <x v="2"/>
    <x v="23"/>
    <x v="0"/>
  </r>
  <r>
    <x v="856"/>
    <x v="1"/>
    <x v="1"/>
    <x v="2"/>
    <x v="1"/>
    <x v="0"/>
    <x v="3"/>
    <x v="1"/>
    <x v="0"/>
    <x v="0"/>
    <x v="1"/>
    <x v="2"/>
    <x v="2"/>
    <x v="40"/>
    <x v="0"/>
  </r>
  <r>
    <x v="857"/>
    <x v="0"/>
    <x v="0"/>
    <x v="0"/>
    <x v="0"/>
    <x v="10"/>
    <x v="0"/>
    <x v="0"/>
    <x v="2"/>
    <x v="0"/>
    <x v="1"/>
    <x v="0"/>
    <x v="2"/>
    <x v="15"/>
    <x v="1"/>
  </r>
  <r>
    <x v="858"/>
    <x v="0"/>
    <x v="0"/>
    <x v="2"/>
    <x v="1"/>
    <x v="0"/>
    <x v="3"/>
    <x v="0"/>
    <x v="2"/>
    <x v="1"/>
    <x v="1"/>
    <x v="0"/>
    <x v="2"/>
    <x v="0"/>
    <x v="0"/>
  </r>
  <r>
    <x v="859"/>
    <x v="0"/>
    <x v="0"/>
    <x v="2"/>
    <x v="1"/>
    <x v="1"/>
    <x v="4"/>
    <x v="2"/>
    <x v="0"/>
    <x v="0"/>
    <x v="2"/>
    <x v="3"/>
    <x v="2"/>
    <x v="38"/>
    <x v="0"/>
  </r>
  <r>
    <x v="860"/>
    <x v="1"/>
    <x v="1"/>
    <x v="2"/>
    <x v="1"/>
    <x v="1"/>
    <x v="3"/>
    <x v="1"/>
    <x v="0"/>
    <x v="0"/>
    <x v="1"/>
    <x v="2"/>
    <x v="2"/>
    <x v="21"/>
    <x v="0"/>
  </r>
  <r>
    <x v="861"/>
    <x v="0"/>
    <x v="0"/>
    <x v="0"/>
    <x v="0"/>
    <x v="6"/>
    <x v="4"/>
    <x v="2"/>
    <x v="3"/>
    <x v="1"/>
    <x v="2"/>
    <x v="3"/>
    <x v="2"/>
    <x v="39"/>
    <x v="1"/>
  </r>
  <r>
    <x v="862"/>
    <x v="0"/>
    <x v="0"/>
    <x v="2"/>
    <x v="1"/>
    <x v="14"/>
    <x v="3"/>
    <x v="4"/>
    <x v="0"/>
    <x v="0"/>
    <x v="0"/>
    <x v="3"/>
    <x v="2"/>
    <x v="21"/>
    <x v="1"/>
  </r>
  <r>
    <x v="863"/>
    <x v="1"/>
    <x v="1"/>
    <x v="2"/>
    <x v="1"/>
    <x v="2"/>
    <x v="3"/>
    <x v="0"/>
    <x v="4"/>
    <x v="1"/>
    <x v="1"/>
    <x v="0"/>
    <x v="2"/>
    <x v="13"/>
    <x v="1"/>
  </r>
  <r>
    <x v="864"/>
    <x v="1"/>
    <x v="1"/>
    <x v="2"/>
    <x v="1"/>
    <x v="0"/>
    <x v="3"/>
    <x v="2"/>
    <x v="0"/>
    <x v="0"/>
    <x v="2"/>
    <x v="2"/>
    <x v="2"/>
    <x v="23"/>
    <x v="0"/>
  </r>
  <r>
    <x v="865"/>
    <x v="1"/>
    <x v="1"/>
    <x v="0"/>
    <x v="0"/>
    <x v="2"/>
    <x v="3"/>
    <x v="0"/>
    <x v="4"/>
    <x v="1"/>
    <x v="1"/>
    <x v="0"/>
    <x v="2"/>
    <x v="13"/>
    <x v="1"/>
  </r>
  <r>
    <x v="866"/>
    <x v="0"/>
    <x v="0"/>
    <x v="2"/>
    <x v="1"/>
    <x v="10"/>
    <x v="4"/>
    <x v="2"/>
    <x v="2"/>
    <x v="0"/>
    <x v="2"/>
    <x v="4"/>
    <x v="2"/>
    <x v="10"/>
    <x v="0"/>
  </r>
  <r>
    <x v="867"/>
    <x v="0"/>
    <x v="0"/>
    <x v="2"/>
    <x v="1"/>
    <x v="3"/>
    <x v="1"/>
    <x v="1"/>
    <x v="2"/>
    <x v="0"/>
    <x v="1"/>
    <x v="2"/>
    <x v="2"/>
    <x v="38"/>
    <x v="0"/>
  </r>
  <r>
    <x v="868"/>
    <x v="1"/>
    <x v="1"/>
    <x v="2"/>
    <x v="1"/>
    <x v="1"/>
    <x v="2"/>
    <x v="3"/>
    <x v="0"/>
    <x v="0"/>
    <x v="4"/>
    <x v="4"/>
    <x v="2"/>
    <x v="2"/>
    <x v="1"/>
  </r>
  <r>
    <x v="869"/>
    <x v="1"/>
    <x v="1"/>
    <x v="0"/>
    <x v="0"/>
    <x v="15"/>
    <x v="1"/>
    <x v="0"/>
    <x v="4"/>
    <x v="1"/>
    <x v="3"/>
    <x v="3"/>
    <x v="2"/>
    <x v="0"/>
    <x v="0"/>
  </r>
  <r>
    <x v="870"/>
    <x v="0"/>
    <x v="0"/>
    <x v="2"/>
    <x v="1"/>
    <x v="10"/>
    <x v="0"/>
    <x v="1"/>
    <x v="0"/>
    <x v="0"/>
    <x v="1"/>
    <x v="0"/>
    <x v="2"/>
    <x v="30"/>
    <x v="0"/>
  </r>
  <r>
    <x v="871"/>
    <x v="0"/>
    <x v="0"/>
    <x v="2"/>
    <x v="1"/>
    <x v="10"/>
    <x v="4"/>
    <x v="2"/>
    <x v="2"/>
    <x v="0"/>
    <x v="2"/>
    <x v="4"/>
    <x v="2"/>
    <x v="10"/>
    <x v="0"/>
  </r>
  <r>
    <x v="872"/>
    <x v="1"/>
    <x v="1"/>
    <x v="0"/>
    <x v="0"/>
    <x v="3"/>
    <x v="1"/>
    <x v="4"/>
    <x v="4"/>
    <x v="0"/>
    <x v="2"/>
    <x v="2"/>
    <x v="2"/>
    <x v="39"/>
    <x v="1"/>
  </r>
  <r>
    <x v="873"/>
    <x v="0"/>
    <x v="0"/>
    <x v="2"/>
    <x v="1"/>
    <x v="14"/>
    <x v="1"/>
    <x v="0"/>
    <x v="0"/>
    <x v="0"/>
    <x v="2"/>
    <x v="1"/>
    <x v="2"/>
    <x v="8"/>
    <x v="0"/>
  </r>
  <r>
    <x v="874"/>
    <x v="0"/>
    <x v="0"/>
    <x v="0"/>
    <x v="0"/>
    <x v="1"/>
    <x v="0"/>
    <x v="0"/>
    <x v="0"/>
    <x v="0"/>
    <x v="1"/>
    <x v="2"/>
    <x v="2"/>
    <x v="39"/>
    <x v="1"/>
  </r>
  <r>
    <x v="875"/>
    <x v="1"/>
    <x v="1"/>
    <x v="0"/>
    <x v="0"/>
    <x v="3"/>
    <x v="4"/>
    <x v="0"/>
    <x v="0"/>
    <x v="0"/>
    <x v="0"/>
    <x v="1"/>
    <x v="2"/>
    <x v="13"/>
    <x v="1"/>
  </r>
  <r>
    <x v="876"/>
    <x v="1"/>
    <x v="1"/>
    <x v="2"/>
    <x v="1"/>
    <x v="1"/>
    <x v="3"/>
    <x v="3"/>
    <x v="1"/>
    <x v="1"/>
    <x v="2"/>
    <x v="0"/>
    <x v="2"/>
    <x v="22"/>
    <x v="0"/>
  </r>
  <r>
    <x v="877"/>
    <x v="0"/>
    <x v="0"/>
    <x v="2"/>
    <x v="1"/>
    <x v="3"/>
    <x v="2"/>
    <x v="0"/>
    <x v="4"/>
    <x v="0"/>
    <x v="2"/>
    <x v="1"/>
    <x v="2"/>
    <x v="33"/>
    <x v="0"/>
  </r>
  <r>
    <x v="878"/>
    <x v="0"/>
    <x v="0"/>
    <x v="2"/>
    <x v="1"/>
    <x v="14"/>
    <x v="4"/>
    <x v="4"/>
    <x v="4"/>
    <x v="0"/>
    <x v="2"/>
    <x v="2"/>
    <x v="2"/>
    <x v="51"/>
    <x v="0"/>
  </r>
  <r>
    <x v="879"/>
    <x v="0"/>
    <x v="0"/>
    <x v="2"/>
    <x v="1"/>
    <x v="8"/>
    <x v="5"/>
    <x v="2"/>
    <x v="2"/>
    <x v="0"/>
    <x v="2"/>
    <x v="3"/>
    <x v="2"/>
    <x v="12"/>
    <x v="0"/>
  </r>
  <r>
    <x v="880"/>
    <x v="0"/>
    <x v="0"/>
    <x v="2"/>
    <x v="1"/>
    <x v="2"/>
    <x v="4"/>
    <x v="4"/>
    <x v="2"/>
    <x v="0"/>
    <x v="0"/>
    <x v="0"/>
    <x v="2"/>
    <x v="34"/>
    <x v="1"/>
  </r>
  <r>
    <x v="881"/>
    <x v="0"/>
    <x v="0"/>
    <x v="0"/>
    <x v="0"/>
    <x v="2"/>
    <x v="5"/>
    <x v="4"/>
    <x v="4"/>
    <x v="0"/>
    <x v="2"/>
    <x v="0"/>
    <x v="2"/>
    <x v="52"/>
    <x v="1"/>
  </r>
  <r>
    <x v="882"/>
    <x v="0"/>
    <x v="0"/>
    <x v="2"/>
    <x v="1"/>
    <x v="1"/>
    <x v="3"/>
    <x v="4"/>
    <x v="0"/>
    <x v="0"/>
    <x v="0"/>
    <x v="0"/>
    <x v="2"/>
    <x v="21"/>
    <x v="0"/>
  </r>
  <r>
    <x v="883"/>
    <x v="0"/>
    <x v="0"/>
    <x v="0"/>
    <x v="0"/>
    <x v="10"/>
    <x v="0"/>
    <x v="0"/>
    <x v="2"/>
    <x v="0"/>
    <x v="1"/>
    <x v="1"/>
    <x v="2"/>
    <x v="28"/>
    <x v="1"/>
  </r>
  <r>
    <x v="884"/>
    <x v="0"/>
    <x v="0"/>
    <x v="2"/>
    <x v="1"/>
    <x v="2"/>
    <x v="5"/>
    <x v="4"/>
    <x v="4"/>
    <x v="0"/>
    <x v="2"/>
    <x v="2"/>
    <x v="2"/>
    <x v="35"/>
    <x v="0"/>
  </r>
  <r>
    <x v="885"/>
    <x v="0"/>
    <x v="0"/>
    <x v="0"/>
    <x v="0"/>
    <x v="6"/>
    <x v="4"/>
    <x v="3"/>
    <x v="1"/>
    <x v="0"/>
    <x v="2"/>
    <x v="0"/>
    <x v="2"/>
    <x v="38"/>
    <x v="0"/>
  </r>
  <r>
    <x v="886"/>
    <x v="0"/>
    <x v="0"/>
    <x v="2"/>
    <x v="1"/>
    <x v="3"/>
    <x v="1"/>
    <x v="4"/>
    <x v="2"/>
    <x v="0"/>
    <x v="0"/>
    <x v="1"/>
    <x v="2"/>
    <x v="17"/>
    <x v="0"/>
  </r>
  <r>
    <x v="887"/>
    <x v="0"/>
    <x v="0"/>
    <x v="2"/>
    <x v="1"/>
    <x v="14"/>
    <x v="3"/>
    <x v="4"/>
    <x v="0"/>
    <x v="0"/>
    <x v="0"/>
    <x v="0"/>
    <x v="2"/>
    <x v="21"/>
    <x v="0"/>
  </r>
  <r>
    <x v="888"/>
    <x v="1"/>
    <x v="1"/>
    <x v="0"/>
    <x v="0"/>
    <x v="10"/>
    <x v="5"/>
    <x v="0"/>
    <x v="0"/>
    <x v="1"/>
    <x v="2"/>
    <x v="0"/>
    <x v="2"/>
    <x v="0"/>
    <x v="0"/>
  </r>
  <r>
    <x v="889"/>
    <x v="0"/>
    <x v="0"/>
    <x v="0"/>
    <x v="0"/>
    <x v="3"/>
    <x v="0"/>
    <x v="4"/>
    <x v="0"/>
    <x v="0"/>
    <x v="0"/>
    <x v="0"/>
    <x v="2"/>
    <x v="11"/>
    <x v="1"/>
  </r>
  <r>
    <x v="890"/>
    <x v="0"/>
    <x v="0"/>
    <x v="0"/>
    <x v="0"/>
    <x v="0"/>
    <x v="4"/>
    <x v="1"/>
    <x v="1"/>
    <x v="0"/>
    <x v="1"/>
    <x v="0"/>
    <x v="2"/>
    <x v="28"/>
    <x v="0"/>
  </r>
  <r>
    <x v="891"/>
    <x v="1"/>
    <x v="1"/>
    <x v="2"/>
    <x v="1"/>
    <x v="11"/>
    <x v="0"/>
    <x v="4"/>
    <x v="4"/>
    <x v="0"/>
    <x v="4"/>
    <x v="1"/>
    <x v="2"/>
    <x v="49"/>
    <x v="1"/>
  </r>
  <r>
    <x v="892"/>
    <x v="1"/>
    <x v="1"/>
    <x v="0"/>
    <x v="0"/>
    <x v="3"/>
    <x v="5"/>
    <x v="0"/>
    <x v="0"/>
    <x v="0"/>
    <x v="2"/>
    <x v="1"/>
    <x v="2"/>
    <x v="1"/>
    <x v="1"/>
  </r>
  <r>
    <x v="893"/>
    <x v="0"/>
    <x v="0"/>
    <x v="2"/>
    <x v="1"/>
    <x v="10"/>
    <x v="0"/>
    <x v="4"/>
    <x v="2"/>
    <x v="0"/>
    <x v="0"/>
    <x v="0"/>
    <x v="2"/>
    <x v="11"/>
    <x v="0"/>
  </r>
  <r>
    <x v="894"/>
    <x v="0"/>
    <x v="0"/>
    <x v="2"/>
    <x v="1"/>
    <x v="3"/>
    <x v="1"/>
    <x v="4"/>
    <x v="2"/>
    <x v="0"/>
    <x v="0"/>
    <x v="0"/>
    <x v="2"/>
    <x v="11"/>
    <x v="1"/>
  </r>
  <r>
    <x v="895"/>
    <x v="0"/>
    <x v="0"/>
    <x v="0"/>
    <x v="0"/>
    <x v="14"/>
    <x v="5"/>
    <x v="0"/>
    <x v="4"/>
    <x v="0"/>
    <x v="2"/>
    <x v="3"/>
    <x v="2"/>
    <x v="46"/>
    <x v="1"/>
  </r>
  <r>
    <x v="896"/>
    <x v="0"/>
    <x v="0"/>
    <x v="0"/>
    <x v="0"/>
    <x v="14"/>
    <x v="0"/>
    <x v="0"/>
    <x v="0"/>
    <x v="0"/>
    <x v="0"/>
    <x v="0"/>
    <x v="2"/>
    <x v="17"/>
    <x v="1"/>
  </r>
  <r>
    <x v="897"/>
    <x v="0"/>
    <x v="0"/>
    <x v="2"/>
    <x v="1"/>
    <x v="1"/>
    <x v="3"/>
    <x v="3"/>
    <x v="1"/>
    <x v="1"/>
    <x v="2"/>
    <x v="0"/>
    <x v="2"/>
    <x v="26"/>
    <x v="0"/>
  </r>
  <r>
    <x v="898"/>
    <x v="1"/>
    <x v="1"/>
    <x v="2"/>
    <x v="1"/>
    <x v="3"/>
    <x v="2"/>
    <x v="0"/>
    <x v="4"/>
    <x v="0"/>
    <x v="4"/>
    <x v="4"/>
    <x v="2"/>
    <x v="2"/>
    <x v="1"/>
  </r>
  <r>
    <x v="899"/>
    <x v="0"/>
    <x v="0"/>
    <x v="0"/>
    <x v="0"/>
    <x v="3"/>
    <x v="2"/>
    <x v="4"/>
    <x v="2"/>
    <x v="0"/>
    <x v="4"/>
    <x v="4"/>
    <x v="2"/>
    <x v="30"/>
    <x v="0"/>
  </r>
  <r>
    <x v="900"/>
    <x v="0"/>
    <x v="0"/>
    <x v="2"/>
    <x v="1"/>
    <x v="0"/>
    <x v="5"/>
    <x v="2"/>
    <x v="0"/>
    <x v="0"/>
    <x v="2"/>
    <x v="0"/>
    <x v="2"/>
    <x v="20"/>
    <x v="1"/>
  </r>
  <r>
    <x v="901"/>
    <x v="1"/>
    <x v="1"/>
    <x v="0"/>
    <x v="0"/>
    <x v="10"/>
    <x v="5"/>
    <x v="0"/>
    <x v="0"/>
    <x v="0"/>
    <x v="2"/>
    <x v="1"/>
    <x v="2"/>
    <x v="0"/>
    <x v="1"/>
  </r>
  <r>
    <x v="902"/>
    <x v="1"/>
    <x v="1"/>
    <x v="2"/>
    <x v="1"/>
    <x v="2"/>
    <x v="1"/>
    <x v="0"/>
    <x v="0"/>
    <x v="0"/>
    <x v="0"/>
    <x v="1"/>
    <x v="2"/>
    <x v="8"/>
    <x v="0"/>
  </r>
  <r>
    <x v="903"/>
    <x v="1"/>
    <x v="1"/>
    <x v="2"/>
    <x v="1"/>
    <x v="8"/>
    <x v="5"/>
    <x v="4"/>
    <x v="4"/>
    <x v="0"/>
    <x v="1"/>
    <x v="2"/>
    <x v="2"/>
    <x v="49"/>
    <x v="0"/>
  </r>
  <r>
    <x v="904"/>
    <x v="1"/>
    <x v="1"/>
    <x v="0"/>
    <x v="0"/>
    <x v="10"/>
    <x v="4"/>
    <x v="0"/>
    <x v="0"/>
    <x v="1"/>
    <x v="0"/>
    <x v="0"/>
    <x v="2"/>
    <x v="4"/>
    <x v="1"/>
  </r>
  <r>
    <x v="905"/>
    <x v="1"/>
    <x v="1"/>
    <x v="2"/>
    <x v="1"/>
    <x v="8"/>
    <x v="5"/>
    <x v="0"/>
    <x v="4"/>
    <x v="0"/>
    <x v="1"/>
    <x v="3"/>
    <x v="2"/>
    <x v="13"/>
    <x v="1"/>
  </r>
  <r>
    <x v="906"/>
    <x v="0"/>
    <x v="0"/>
    <x v="2"/>
    <x v="1"/>
    <x v="10"/>
    <x v="0"/>
    <x v="4"/>
    <x v="2"/>
    <x v="0"/>
    <x v="0"/>
    <x v="1"/>
    <x v="2"/>
    <x v="17"/>
    <x v="1"/>
  </r>
  <r>
    <x v="907"/>
    <x v="0"/>
    <x v="0"/>
    <x v="2"/>
    <x v="1"/>
    <x v="14"/>
    <x v="5"/>
    <x v="0"/>
    <x v="4"/>
    <x v="0"/>
    <x v="2"/>
    <x v="4"/>
    <x v="2"/>
    <x v="18"/>
    <x v="0"/>
  </r>
  <r>
    <x v="908"/>
    <x v="1"/>
    <x v="1"/>
    <x v="2"/>
    <x v="1"/>
    <x v="14"/>
    <x v="1"/>
    <x v="0"/>
    <x v="0"/>
    <x v="0"/>
    <x v="2"/>
    <x v="1"/>
    <x v="2"/>
    <x v="3"/>
    <x v="1"/>
  </r>
  <r>
    <x v="909"/>
    <x v="0"/>
    <x v="0"/>
    <x v="2"/>
    <x v="1"/>
    <x v="10"/>
    <x v="3"/>
    <x v="4"/>
    <x v="0"/>
    <x v="0"/>
    <x v="0"/>
    <x v="3"/>
    <x v="2"/>
    <x v="32"/>
    <x v="1"/>
  </r>
  <r>
    <x v="910"/>
    <x v="0"/>
    <x v="0"/>
    <x v="2"/>
    <x v="1"/>
    <x v="0"/>
    <x v="5"/>
    <x v="2"/>
    <x v="0"/>
    <x v="0"/>
    <x v="2"/>
    <x v="1"/>
    <x v="2"/>
    <x v="30"/>
    <x v="0"/>
  </r>
  <r>
    <x v="911"/>
    <x v="0"/>
    <x v="0"/>
    <x v="0"/>
    <x v="0"/>
    <x v="2"/>
    <x v="2"/>
    <x v="0"/>
    <x v="4"/>
    <x v="0"/>
    <x v="2"/>
    <x v="2"/>
    <x v="2"/>
    <x v="46"/>
    <x v="0"/>
  </r>
  <r>
    <x v="912"/>
    <x v="0"/>
    <x v="0"/>
    <x v="0"/>
    <x v="0"/>
    <x v="0"/>
    <x v="1"/>
    <x v="1"/>
    <x v="1"/>
    <x v="0"/>
    <x v="1"/>
    <x v="3"/>
    <x v="2"/>
    <x v="21"/>
    <x v="0"/>
  </r>
  <r>
    <x v="913"/>
    <x v="1"/>
    <x v="1"/>
    <x v="2"/>
    <x v="1"/>
    <x v="10"/>
    <x v="4"/>
    <x v="0"/>
    <x v="0"/>
    <x v="0"/>
    <x v="0"/>
    <x v="1"/>
    <x v="2"/>
    <x v="4"/>
    <x v="1"/>
  </r>
  <r>
    <x v="914"/>
    <x v="1"/>
    <x v="1"/>
    <x v="2"/>
    <x v="1"/>
    <x v="2"/>
    <x v="2"/>
    <x v="4"/>
    <x v="0"/>
    <x v="1"/>
    <x v="0"/>
    <x v="0"/>
    <x v="2"/>
    <x v="15"/>
    <x v="0"/>
  </r>
  <r>
    <x v="915"/>
    <x v="0"/>
    <x v="0"/>
    <x v="2"/>
    <x v="1"/>
    <x v="10"/>
    <x v="1"/>
    <x v="4"/>
    <x v="4"/>
    <x v="0"/>
    <x v="2"/>
    <x v="4"/>
    <x v="2"/>
    <x v="46"/>
    <x v="0"/>
  </r>
  <r>
    <x v="916"/>
    <x v="1"/>
    <x v="1"/>
    <x v="2"/>
    <x v="1"/>
    <x v="3"/>
    <x v="1"/>
    <x v="4"/>
    <x v="2"/>
    <x v="1"/>
    <x v="0"/>
    <x v="0"/>
    <x v="2"/>
    <x v="11"/>
    <x v="1"/>
  </r>
  <r>
    <x v="917"/>
    <x v="1"/>
    <x v="1"/>
    <x v="2"/>
    <x v="1"/>
    <x v="15"/>
    <x v="1"/>
    <x v="0"/>
    <x v="4"/>
    <x v="0"/>
    <x v="3"/>
    <x v="1"/>
    <x v="2"/>
    <x v="8"/>
    <x v="1"/>
  </r>
  <r>
    <x v="918"/>
    <x v="0"/>
    <x v="0"/>
    <x v="0"/>
    <x v="0"/>
    <x v="3"/>
    <x v="3"/>
    <x v="1"/>
    <x v="0"/>
    <x v="0"/>
    <x v="2"/>
    <x v="2"/>
    <x v="2"/>
    <x v="17"/>
    <x v="1"/>
  </r>
  <r>
    <x v="919"/>
    <x v="0"/>
    <x v="0"/>
    <x v="0"/>
    <x v="0"/>
    <x v="0"/>
    <x v="5"/>
    <x v="2"/>
    <x v="2"/>
    <x v="0"/>
    <x v="2"/>
    <x v="4"/>
    <x v="2"/>
    <x v="33"/>
    <x v="0"/>
  </r>
  <r>
    <x v="920"/>
    <x v="0"/>
    <x v="0"/>
    <x v="2"/>
    <x v="1"/>
    <x v="1"/>
    <x v="4"/>
    <x v="2"/>
    <x v="0"/>
    <x v="0"/>
    <x v="2"/>
    <x v="3"/>
    <x v="2"/>
    <x v="36"/>
    <x v="0"/>
  </r>
  <r>
    <x v="921"/>
    <x v="1"/>
    <x v="1"/>
    <x v="0"/>
    <x v="0"/>
    <x v="3"/>
    <x v="1"/>
    <x v="1"/>
    <x v="2"/>
    <x v="0"/>
    <x v="1"/>
    <x v="2"/>
    <x v="2"/>
    <x v="38"/>
    <x v="1"/>
  </r>
  <r>
    <x v="922"/>
    <x v="0"/>
    <x v="0"/>
    <x v="0"/>
    <x v="0"/>
    <x v="0"/>
    <x v="1"/>
    <x v="1"/>
    <x v="2"/>
    <x v="1"/>
    <x v="2"/>
    <x v="3"/>
    <x v="2"/>
    <x v="9"/>
    <x v="1"/>
  </r>
  <r>
    <x v="923"/>
    <x v="1"/>
    <x v="1"/>
    <x v="2"/>
    <x v="1"/>
    <x v="3"/>
    <x v="1"/>
    <x v="4"/>
    <x v="4"/>
    <x v="1"/>
    <x v="2"/>
    <x v="3"/>
    <x v="2"/>
    <x v="39"/>
    <x v="1"/>
  </r>
  <r>
    <x v="924"/>
    <x v="1"/>
    <x v="1"/>
    <x v="2"/>
    <x v="1"/>
    <x v="8"/>
    <x v="4"/>
    <x v="1"/>
    <x v="2"/>
    <x v="0"/>
    <x v="1"/>
    <x v="1"/>
    <x v="2"/>
    <x v="28"/>
    <x v="1"/>
  </r>
  <r>
    <x v="925"/>
    <x v="1"/>
    <x v="1"/>
    <x v="0"/>
    <x v="0"/>
    <x v="14"/>
    <x v="3"/>
    <x v="4"/>
    <x v="0"/>
    <x v="0"/>
    <x v="0"/>
    <x v="3"/>
    <x v="2"/>
    <x v="6"/>
    <x v="1"/>
  </r>
  <r>
    <x v="926"/>
    <x v="1"/>
    <x v="1"/>
    <x v="0"/>
    <x v="0"/>
    <x v="0"/>
    <x v="4"/>
    <x v="2"/>
    <x v="2"/>
    <x v="0"/>
    <x v="2"/>
    <x v="4"/>
    <x v="2"/>
    <x v="42"/>
    <x v="0"/>
  </r>
  <r>
    <x v="927"/>
    <x v="0"/>
    <x v="0"/>
    <x v="0"/>
    <x v="0"/>
    <x v="3"/>
    <x v="3"/>
    <x v="4"/>
    <x v="2"/>
    <x v="0"/>
    <x v="0"/>
    <x v="1"/>
    <x v="2"/>
    <x v="32"/>
    <x v="0"/>
  </r>
  <r>
    <x v="928"/>
    <x v="0"/>
    <x v="0"/>
    <x v="2"/>
    <x v="1"/>
    <x v="10"/>
    <x v="4"/>
    <x v="2"/>
    <x v="2"/>
    <x v="0"/>
    <x v="2"/>
    <x v="2"/>
    <x v="2"/>
    <x v="28"/>
    <x v="0"/>
  </r>
  <r>
    <x v="929"/>
    <x v="0"/>
    <x v="0"/>
    <x v="2"/>
    <x v="1"/>
    <x v="10"/>
    <x v="4"/>
    <x v="2"/>
    <x v="2"/>
    <x v="0"/>
    <x v="2"/>
    <x v="2"/>
    <x v="2"/>
    <x v="5"/>
    <x v="0"/>
  </r>
  <r>
    <x v="930"/>
    <x v="0"/>
    <x v="0"/>
    <x v="2"/>
    <x v="1"/>
    <x v="3"/>
    <x v="2"/>
    <x v="4"/>
    <x v="2"/>
    <x v="1"/>
    <x v="4"/>
    <x v="4"/>
    <x v="2"/>
    <x v="15"/>
    <x v="0"/>
  </r>
  <r>
    <x v="931"/>
    <x v="0"/>
    <x v="0"/>
    <x v="0"/>
    <x v="0"/>
    <x v="0"/>
    <x v="0"/>
    <x v="1"/>
    <x v="1"/>
    <x v="0"/>
    <x v="1"/>
    <x v="3"/>
    <x v="2"/>
    <x v="38"/>
    <x v="1"/>
  </r>
  <r>
    <x v="932"/>
    <x v="1"/>
    <x v="1"/>
    <x v="0"/>
    <x v="0"/>
    <x v="0"/>
    <x v="3"/>
    <x v="2"/>
    <x v="0"/>
    <x v="1"/>
    <x v="2"/>
    <x v="0"/>
    <x v="2"/>
    <x v="40"/>
    <x v="1"/>
  </r>
  <r>
    <x v="933"/>
    <x v="1"/>
    <x v="1"/>
    <x v="2"/>
    <x v="1"/>
    <x v="10"/>
    <x v="3"/>
    <x v="1"/>
    <x v="0"/>
    <x v="0"/>
    <x v="0"/>
    <x v="2"/>
    <x v="2"/>
    <x v="19"/>
    <x v="0"/>
  </r>
  <r>
    <x v="934"/>
    <x v="0"/>
    <x v="0"/>
    <x v="2"/>
    <x v="1"/>
    <x v="10"/>
    <x v="4"/>
    <x v="0"/>
    <x v="4"/>
    <x v="0"/>
    <x v="0"/>
    <x v="1"/>
    <x v="2"/>
    <x v="14"/>
    <x v="0"/>
  </r>
  <r>
    <x v="935"/>
    <x v="0"/>
    <x v="0"/>
    <x v="0"/>
    <x v="0"/>
    <x v="10"/>
    <x v="0"/>
    <x v="1"/>
    <x v="0"/>
    <x v="0"/>
    <x v="1"/>
    <x v="0"/>
    <x v="2"/>
    <x v="12"/>
    <x v="1"/>
  </r>
  <r>
    <x v="936"/>
    <x v="0"/>
    <x v="0"/>
    <x v="0"/>
    <x v="0"/>
    <x v="10"/>
    <x v="5"/>
    <x v="0"/>
    <x v="4"/>
    <x v="0"/>
    <x v="2"/>
    <x v="1"/>
    <x v="2"/>
    <x v="2"/>
    <x v="0"/>
  </r>
  <r>
    <x v="937"/>
    <x v="0"/>
    <x v="0"/>
    <x v="2"/>
    <x v="1"/>
    <x v="3"/>
    <x v="5"/>
    <x v="4"/>
    <x v="2"/>
    <x v="0"/>
    <x v="0"/>
    <x v="0"/>
    <x v="2"/>
    <x v="4"/>
    <x v="1"/>
  </r>
  <r>
    <x v="938"/>
    <x v="0"/>
    <x v="0"/>
    <x v="0"/>
    <x v="0"/>
    <x v="0"/>
    <x v="3"/>
    <x v="2"/>
    <x v="0"/>
    <x v="0"/>
    <x v="2"/>
    <x v="2"/>
    <x v="2"/>
    <x v="40"/>
    <x v="0"/>
  </r>
  <r>
    <x v="939"/>
    <x v="1"/>
    <x v="1"/>
    <x v="2"/>
    <x v="1"/>
    <x v="2"/>
    <x v="4"/>
    <x v="3"/>
    <x v="0"/>
    <x v="1"/>
    <x v="2"/>
    <x v="3"/>
    <x v="2"/>
    <x v="5"/>
    <x v="0"/>
  </r>
  <r>
    <x v="940"/>
    <x v="1"/>
    <x v="1"/>
    <x v="0"/>
    <x v="0"/>
    <x v="10"/>
    <x v="0"/>
    <x v="4"/>
    <x v="0"/>
    <x v="0"/>
    <x v="0"/>
    <x v="3"/>
    <x v="2"/>
    <x v="11"/>
    <x v="0"/>
  </r>
  <r>
    <x v="941"/>
    <x v="0"/>
    <x v="0"/>
    <x v="0"/>
    <x v="0"/>
    <x v="10"/>
    <x v="0"/>
    <x v="4"/>
    <x v="0"/>
    <x v="0"/>
    <x v="0"/>
    <x v="1"/>
    <x v="2"/>
    <x v="17"/>
    <x v="1"/>
  </r>
  <r>
    <x v="942"/>
    <x v="0"/>
    <x v="0"/>
    <x v="0"/>
    <x v="0"/>
    <x v="0"/>
    <x v="1"/>
    <x v="1"/>
    <x v="2"/>
    <x v="0"/>
    <x v="2"/>
    <x v="2"/>
    <x v="2"/>
    <x v="9"/>
    <x v="0"/>
  </r>
  <r>
    <x v="943"/>
    <x v="0"/>
    <x v="0"/>
    <x v="0"/>
    <x v="0"/>
    <x v="10"/>
    <x v="5"/>
    <x v="0"/>
    <x v="0"/>
    <x v="1"/>
    <x v="2"/>
    <x v="0"/>
    <x v="2"/>
    <x v="0"/>
    <x v="0"/>
  </r>
  <r>
    <x v="944"/>
    <x v="0"/>
    <x v="0"/>
    <x v="0"/>
    <x v="0"/>
    <x v="14"/>
    <x v="0"/>
    <x v="0"/>
    <x v="0"/>
    <x v="0"/>
    <x v="0"/>
    <x v="1"/>
    <x v="2"/>
    <x v="17"/>
    <x v="1"/>
  </r>
  <r>
    <x v="945"/>
    <x v="1"/>
    <x v="1"/>
    <x v="2"/>
    <x v="1"/>
    <x v="14"/>
    <x v="4"/>
    <x v="0"/>
    <x v="0"/>
    <x v="1"/>
    <x v="1"/>
    <x v="0"/>
    <x v="2"/>
    <x v="13"/>
    <x v="1"/>
  </r>
  <r>
    <x v="946"/>
    <x v="0"/>
    <x v="0"/>
    <x v="0"/>
    <x v="0"/>
    <x v="8"/>
    <x v="2"/>
    <x v="0"/>
    <x v="4"/>
    <x v="0"/>
    <x v="2"/>
    <x v="3"/>
    <x v="2"/>
    <x v="18"/>
    <x v="1"/>
  </r>
  <r>
    <x v="947"/>
    <x v="1"/>
    <x v="1"/>
    <x v="0"/>
    <x v="0"/>
    <x v="8"/>
    <x v="5"/>
    <x v="2"/>
    <x v="2"/>
    <x v="1"/>
    <x v="4"/>
    <x v="3"/>
    <x v="2"/>
    <x v="12"/>
    <x v="1"/>
  </r>
  <r>
    <x v="948"/>
    <x v="1"/>
    <x v="1"/>
    <x v="0"/>
    <x v="0"/>
    <x v="10"/>
    <x v="3"/>
    <x v="4"/>
    <x v="0"/>
    <x v="1"/>
    <x v="0"/>
    <x v="0"/>
    <x v="2"/>
    <x v="8"/>
    <x v="0"/>
  </r>
  <r>
    <x v="949"/>
    <x v="0"/>
    <x v="0"/>
    <x v="2"/>
    <x v="1"/>
    <x v="3"/>
    <x v="4"/>
    <x v="3"/>
    <x v="0"/>
    <x v="0"/>
    <x v="2"/>
    <x v="4"/>
    <x v="2"/>
    <x v="39"/>
    <x v="0"/>
  </r>
  <r>
    <x v="950"/>
    <x v="1"/>
    <x v="1"/>
    <x v="0"/>
    <x v="0"/>
    <x v="3"/>
    <x v="0"/>
    <x v="4"/>
    <x v="2"/>
    <x v="0"/>
    <x v="0"/>
    <x v="1"/>
    <x v="2"/>
    <x v="17"/>
    <x v="0"/>
  </r>
  <r>
    <x v="951"/>
    <x v="0"/>
    <x v="0"/>
    <x v="2"/>
    <x v="1"/>
    <x v="3"/>
    <x v="3"/>
    <x v="0"/>
    <x v="2"/>
    <x v="1"/>
    <x v="1"/>
    <x v="0"/>
    <x v="2"/>
    <x v="13"/>
    <x v="0"/>
  </r>
  <r>
    <x v="952"/>
    <x v="0"/>
    <x v="0"/>
    <x v="0"/>
    <x v="0"/>
    <x v="3"/>
    <x v="5"/>
    <x v="0"/>
    <x v="4"/>
    <x v="1"/>
    <x v="1"/>
    <x v="3"/>
    <x v="2"/>
    <x v="14"/>
    <x v="0"/>
  </r>
  <r>
    <x v="953"/>
    <x v="1"/>
    <x v="1"/>
    <x v="0"/>
    <x v="0"/>
    <x v="0"/>
    <x v="1"/>
    <x v="1"/>
    <x v="1"/>
    <x v="0"/>
    <x v="1"/>
    <x v="3"/>
    <x v="2"/>
    <x v="25"/>
    <x v="1"/>
  </r>
  <r>
    <x v="954"/>
    <x v="0"/>
    <x v="0"/>
    <x v="2"/>
    <x v="1"/>
    <x v="10"/>
    <x v="0"/>
    <x v="0"/>
    <x v="2"/>
    <x v="0"/>
    <x v="1"/>
    <x v="0"/>
    <x v="2"/>
    <x v="28"/>
    <x v="1"/>
  </r>
  <r>
    <x v="955"/>
    <x v="0"/>
    <x v="0"/>
    <x v="0"/>
    <x v="0"/>
    <x v="0"/>
    <x v="5"/>
    <x v="2"/>
    <x v="0"/>
    <x v="0"/>
    <x v="2"/>
    <x v="1"/>
    <x v="2"/>
    <x v="1"/>
    <x v="0"/>
  </r>
  <r>
    <x v="956"/>
    <x v="0"/>
    <x v="0"/>
    <x v="0"/>
    <x v="0"/>
    <x v="3"/>
    <x v="5"/>
    <x v="4"/>
    <x v="2"/>
    <x v="0"/>
    <x v="0"/>
    <x v="1"/>
    <x v="2"/>
    <x v="11"/>
    <x v="1"/>
  </r>
  <r>
    <x v="957"/>
    <x v="0"/>
    <x v="0"/>
    <x v="0"/>
    <x v="0"/>
    <x v="10"/>
    <x v="3"/>
    <x v="1"/>
    <x v="2"/>
    <x v="0"/>
    <x v="2"/>
    <x v="2"/>
    <x v="2"/>
    <x v="25"/>
    <x v="0"/>
  </r>
  <r>
    <x v="958"/>
    <x v="0"/>
    <x v="0"/>
    <x v="2"/>
    <x v="1"/>
    <x v="8"/>
    <x v="2"/>
    <x v="4"/>
    <x v="2"/>
    <x v="0"/>
    <x v="0"/>
    <x v="0"/>
    <x v="2"/>
    <x v="15"/>
    <x v="1"/>
  </r>
  <r>
    <x v="959"/>
    <x v="0"/>
    <x v="0"/>
    <x v="2"/>
    <x v="1"/>
    <x v="10"/>
    <x v="0"/>
    <x v="1"/>
    <x v="0"/>
    <x v="0"/>
    <x v="1"/>
    <x v="1"/>
    <x v="2"/>
    <x v="12"/>
    <x v="1"/>
  </r>
  <r>
    <x v="960"/>
    <x v="1"/>
    <x v="1"/>
    <x v="2"/>
    <x v="1"/>
    <x v="11"/>
    <x v="3"/>
    <x v="1"/>
    <x v="2"/>
    <x v="1"/>
    <x v="3"/>
    <x v="3"/>
    <x v="2"/>
    <x v="12"/>
    <x v="0"/>
  </r>
  <r>
    <x v="961"/>
    <x v="0"/>
    <x v="0"/>
    <x v="0"/>
    <x v="0"/>
    <x v="7"/>
    <x v="4"/>
    <x v="0"/>
    <x v="4"/>
    <x v="0"/>
    <x v="4"/>
    <x v="2"/>
    <x v="2"/>
    <x v="24"/>
    <x v="0"/>
  </r>
  <r>
    <x v="962"/>
    <x v="0"/>
    <x v="0"/>
    <x v="2"/>
    <x v="1"/>
    <x v="10"/>
    <x v="4"/>
    <x v="1"/>
    <x v="2"/>
    <x v="0"/>
    <x v="2"/>
    <x v="4"/>
    <x v="2"/>
    <x v="10"/>
    <x v="0"/>
  </r>
  <r>
    <x v="963"/>
    <x v="0"/>
    <x v="0"/>
    <x v="0"/>
    <x v="0"/>
    <x v="8"/>
    <x v="2"/>
    <x v="0"/>
    <x v="4"/>
    <x v="0"/>
    <x v="2"/>
    <x v="3"/>
    <x v="2"/>
    <x v="29"/>
    <x v="1"/>
  </r>
  <r>
    <x v="964"/>
    <x v="1"/>
    <x v="1"/>
    <x v="2"/>
    <x v="1"/>
    <x v="3"/>
    <x v="5"/>
    <x v="1"/>
    <x v="2"/>
    <x v="0"/>
    <x v="1"/>
    <x v="4"/>
    <x v="2"/>
    <x v="16"/>
    <x v="0"/>
  </r>
  <r>
    <x v="965"/>
    <x v="1"/>
    <x v="1"/>
    <x v="0"/>
    <x v="0"/>
    <x v="14"/>
    <x v="1"/>
    <x v="0"/>
    <x v="0"/>
    <x v="1"/>
    <x v="1"/>
    <x v="0"/>
    <x v="2"/>
    <x v="8"/>
    <x v="0"/>
  </r>
  <r>
    <x v="966"/>
    <x v="0"/>
    <x v="0"/>
    <x v="0"/>
    <x v="0"/>
    <x v="14"/>
    <x v="3"/>
    <x v="4"/>
    <x v="0"/>
    <x v="0"/>
    <x v="0"/>
    <x v="3"/>
    <x v="2"/>
    <x v="6"/>
    <x v="1"/>
  </r>
  <r>
    <x v="967"/>
    <x v="0"/>
    <x v="0"/>
    <x v="2"/>
    <x v="1"/>
    <x v="2"/>
    <x v="1"/>
    <x v="0"/>
    <x v="4"/>
    <x v="0"/>
    <x v="1"/>
    <x v="3"/>
    <x v="2"/>
    <x v="16"/>
    <x v="0"/>
  </r>
  <r>
    <x v="968"/>
    <x v="1"/>
    <x v="1"/>
    <x v="2"/>
    <x v="1"/>
    <x v="1"/>
    <x v="3"/>
    <x v="3"/>
    <x v="1"/>
    <x v="1"/>
    <x v="2"/>
    <x v="2"/>
    <x v="2"/>
    <x v="40"/>
    <x v="0"/>
  </r>
  <r>
    <x v="969"/>
    <x v="0"/>
    <x v="0"/>
    <x v="2"/>
    <x v="1"/>
    <x v="10"/>
    <x v="3"/>
    <x v="4"/>
    <x v="2"/>
    <x v="1"/>
    <x v="0"/>
    <x v="0"/>
    <x v="2"/>
    <x v="32"/>
    <x v="0"/>
  </r>
  <r>
    <x v="970"/>
    <x v="0"/>
    <x v="0"/>
    <x v="0"/>
    <x v="0"/>
    <x v="10"/>
    <x v="3"/>
    <x v="1"/>
    <x v="0"/>
    <x v="0"/>
    <x v="2"/>
    <x v="2"/>
    <x v="2"/>
    <x v="23"/>
    <x v="0"/>
  </r>
  <r>
    <x v="971"/>
    <x v="1"/>
    <x v="1"/>
    <x v="0"/>
    <x v="0"/>
    <x v="10"/>
    <x v="4"/>
    <x v="3"/>
    <x v="0"/>
    <x v="1"/>
    <x v="2"/>
    <x v="3"/>
    <x v="2"/>
    <x v="36"/>
    <x v="0"/>
  </r>
  <r>
    <x v="972"/>
    <x v="0"/>
    <x v="0"/>
    <x v="0"/>
    <x v="0"/>
    <x v="1"/>
    <x v="0"/>
    <x v="2"/>
    <x v="1"/>
    <x v="0"/>
    <x v="1"/>
    <x v="2"/>
    <x v="2"/>
    <x v="31"/>
    <x v="0"/>
  </r>
  <r>
    <x v="973"/>
    <x v="0"/>
    <x v="0"/>
    <x v="2"/>
    <x v="1"/>
    <x v="10"/>
    <x v="0"/>
    <x v="1"/>
    <x v="0"/>
    <x v="1"/>
    <x v="1"/>
    <x v="0"/>
    <x v="2"/>
    <x v="15"/>
    <x v="0"/>
  </r>
  <r>
    <x v="974"/>
    <x v="0"/>
    <x v="0"/>
    <x v="2"/>
    <x v="1"/>
    <x v="3"/>
    <x v="1"/>
    <x v="4"/>
    <x v="4"/>
    <x v="0"/>
    <x v="2"/>
    <x v="2"/>
    <x v="2"/>
    <x v="39"/>
    <x v="1"/>
  </r>
  <r>
    <x v="975"/>
    <x v="0"/>
    <x v="0"/>
    <x v="2"/>
    <x v="1"/>
    <x v="3"/>
    <x v="1"/>
    <x v="4"/>
    <x v="2"/>
    <x v="0"/>
    <x v="0"/>
    <x v="0"/>
    <x v="2"/>
    <x v="11"/>
    <x v="1"/>
  </r>
  <r>
    <x v="976"/>
    <x v="0"/>
    <x v="0"/>
    <x v="0"/>
    <x v="0"/>
    <x v="10"/>
    <x v="1"/>
    <x v="0"/>
    <x v="4"/>
    <x v="0"/>
    <x v="2"/>
    <x v="4"/>
    <x v="2"/>
    <x v="29"/>
    <x v="0"/>
  </r>
  <r>
    <x v="977"/>
    <x v="1"/>
    <x v="1"/>
    <x v="0"/>
    <x v="0"/>
    <x v="2"/>
    <x v="5"/>
    <x v="4"/>
    <x v="4"/>
    <x v="0"/>
    <x v="2"/>
    <x v="2"/>
    <x v="2"/>
    <x v="27"/>
    <x v="0"/>
  </r>
  <r>
    <x v="978"/>
    <x v="0"/>
    <x v="0"/>
    <x v="2"/>
    <x v="1"/>
    <x v="2"/>
    <x v="2"/>
    <x v="1"/>
    <x v="2"/>
    <x v="0"/>
    <x v="4"/>
    <x v="2"/>
    <x v="2"/>
    <x v="12"/>
    <x v="0"/>
  </r>
  <r>
    <x v="979"/>
    <x v="1"/>
    <x v="1"/>
    <x v="2"/>
    <x v="1"/>
    <x v="0"/>
    <x v="3"/>
    <x v="2"/>
    <x v="0"/>
    <x v="0"/>
    <x v="1"/>
    <x v="2"/>
    <x v="2"/>
    <x v="23"/>
    <x v="0"/>
  </r>
  <r>
    <x v="980"/>
    <x v="1"/>
    <x v="1"/>
    <x v="0"/>
    <x v="0"/>
    <x v="2"/>
    <x v="1"/>
    <x v="0"/>
    <x v="0"/>
    <x v="0"/>
    <x v="4"/>
    <x v="4"/>
    <x v="2"/>
    <x v="8"/>
    <x v="1"/>
  </r>
  <r>
    <x v="981"/>
    <x v="0"/>
    <x v="0"/>
    <x v="2"/>
    <x v="1"/>
    <x v="15"/>
    <x v="2"/>
    <x v="1"/>
    <x v="2"/>
    <x v="0"/>
    <x v="3"/>
    <x v="1"/>
    <x v="2"/>
    <x v="30"/>
    <x v="0"/>
  </r>
  <r>
    <x v="982"/>
    <x v="1"/>
    <x v="1"/>
    <x v="2"/>
    <x v="1"/>
    <x v="0"/>
    <x v="4"/>
    <x v="1"/>
    <x v="1"/>
    <x v="1"/>
    <x v="1"/>
    <x v="3"/>
    <x v="2"/>
    <x v="15"/>
    <x v="1"/>
  </r>
  <r>
    <x v="983"/>
    <x v="0"/>
    <x v="0"/>
    <x v="2"/>
    <x v="1"/>
    <x v="12"/>
    <x v="4"/>
    <x v="4"/>
    <x v="4"/>
    <x v="0"/>
    <x v="2"/>
    <x v="0"/>
    <x v="2"/>
    <x v="3"/>
    <x v="0"/>
  </r>
  <r>
    <x v="984"/>
    <x v="0"/>
    <x v="0"/>
    <x v="2"/>
    <x v="1"/>
    <x v="10"/>
    <x v="4"/>
    <x v="2"/>
    <x v="2"/>
    <x v="1"/>
    <x v="2"/>
    <x v="3"/>
    <x v="2"/>
    <x v="28"/>
    <x v="1"/>
  </r>
  <r>
    <x v="985"/>
    <x v="1"/>
    <x v="1"/>
    <x v="0"/>
    <x v="0"/>
    <x v="14"/>
    <x v="5"/>
    <x v="0"/>
    <x v="0"/>
    <x v="0"/>
    <x v="2"/>
    <x v="0"/>
    <x v="2"/>
    <x v="0"/>
    <x v="0"/>
  </r>
  <r>
    <x v="986"/>
    <x v="1"/>
    <x v="1"/>
    <x v="2"/>
    <x v="1"/>
    <x v="0"/>
    <x v="2"/>
    <x v="2"/>
    <x v="2"/>
    <x v="0"/>
    <x v="3"/>
    <x v="4"/>
    <x v="2"/>
    <x v="2"/>
    <x v="1"/>
  </r>
  <r>
    <x v="987"/>
    <x v="1"/>
    <x v="1"/>
    <x v="0"/>
    <x v="0"/>
    <x v="10"/>
    <x v="1"/>
    <x v="4"/>
    <x v="4"/>
    <x v="0"/>
    <x v="2"/>
    <x v="4"/>
    <x v="2"/>
    <x v="29"/>
    <x v="0"/>
  </r>
  <r>
    <x v="988"/>
    <x v="0"/>
    <x v="0"/>
    <x v="2"/>
    <x v="1"/>
    <x v="3"/>
    <x v="2"/>
    <x v="0"/>
    <x v="4"/>
    <x v="0"/>
    <x v="2"/>
    <x v="4"/>
    <x v="2"/>
    <x v="18"/>
    <x v="0"/>
  </r>
  <r>
    <x v="989"/>
    <x v="0"/>
    <x v="0"/>
    <x v="2"/>
    <x v="1"/>
    <x v="10"/>
    <x v="5"/>
    <x v="0"/>
    <x v="0"/>
    <x v="1"/>
    <x v="4"/>
    <x v="4"/>
    <x v="2"/>
    <x v="0"/>
    <x v="0"/>
  </r>
  <r>
    <x v="990"/>
    <x v="1"/>
    <x v="1"/>
    <x v="0"/>
    <x v="0"/>
    <x v="1"/>
    <x v="3"/>
    <x v="2"/>
    <x v="0"/>
    <x v="1"/>
    <x v="2"/>
    <x v="2"/>
    <x v="2"/>
    <x v="22"/>
    <x v="0"/>
  </r>
  <r>
    <x v="991"/>
    <x v="1"/>
    <x v="1"/>
    <x v="0"/>
    <x v="0"/>
    <x v="10"/>
    <x v="0"/>
    <x v="4"/>
    <x v="2"/>
    <x v="0"/>
    <x v="0"/>
    <x v="1"/>
    <x v="2"/>
    <x v="4"/>
    <x v="1"/>
  </r>
  <r>
    <x v="992"/>
    <x v="0"/>
    <x v="0"/>
    <x v="2"/>
    <x v="1"/>
    <x v="8"/>
    <x v="4"/>
    <x v="1"/>
    <x v="2"/>
    <x v="1"/>
    <x v="0"/>
    <x v="2"/>
    <x v="2"/>
    <x v="38"/>
    <x v="1"/>
  </r>
  <r>
    <x v="993"/>
    <x v="1"/>
    <x v="1"/>
    <x v="2"/>
    <x v="1"/>
    <x v="13"/>
    <x v="0"/>
    <x v="1"/>
    <x v="2"/>
    <x v="1"/>
    <x v="4"/>
    <x v="0"/>
    <x v="2"/>
    <x v="20"/>
    <x v="1"/>
  </r>
  <r>
    <x v="994"/>
    <x v="0"/>
    <x v="0"/>
    <x v="2"/>
    <x v="1"/>
    <x v="2"/>
    <x v="2"/>
    <x v="1"/>
    <x v="2"/>
    <x v="0"/>
    <x v="4"/>
    <x v="3"/>
    <x v="2"/>
    <x v="30"/>
    <x v="0"/>
  </r>
  <r>
    <x v="995"/>
    <x v="0"/>
    <x v="0"/>
    <x v="2"/>
    <x v="1"/>
    <x v="10"/>
    <x v="4"/>
    <x v="2"/>
    <x v="2"/>
    <x v="0"/>
    <x v="2"/>
    <x v="1"/>
    <x v="2"/>
    <x v="9"/>
    <x v="1"/>
  </r>
  <r>
    <x v="996"/>
    <x v="1"/>
    <x v="1"/>
    <x v="2"/>
    <x v="1"/>
    <x v="3"/>
    <x v="5"/>
    <x v="4"/>
    <x v="2"/>
    <x v="0"/>
    <x v="0"/>
    <x v="1"/>
    <x v="2"/>
    <x v="11"/>
    <x v="1"/>
  </r>
  <r>
    <x v="997"/>
    <x v="0"/>
    <x v="0"/>
    <x v="2"/>
    <x v="1"/>
    <x v="10"/>
    <x v="4"/>
    <x v="0"/>
    <x v="0"/>
    <x v="0"/>
    <x v="0"/>
    <x v="0"/>
    <x v="2"/>
    <x v="13"/>
    <x v="1"/>
  </r>
  <r>
    <x v="998"/>
    <x v="1"/>
    <x v="1"/>
    <x v="2"/>
    <x v="1"/>
    <x v="11"/>
    <x v="1"/>
    <x v="0"/>
    <x v="4"/>
    <x v="1"/>
    <x v="4"/>
    <x v="3"/>
    <x v="2"/>
    <x v="13"/>
    <x v="0"/>
  </r>
  <r>
    <x v="999"/>
    <x v="1"/>
    <x v="1"/>
    <x v="2"/>
    <x v="1"/>
    <x v="10"/>
    <x v="1"/>
    <x v="2"/>
    <x v="2"/>
    <x v="0"/>
    <x v="2"/>
    <x v="4"/>
    <x v="2"/>
    <x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EF09A1-1ECF-E148-A680-3B40F7D0828B}"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P59:P60" firstHeaderRow="1" firstDataRow="1" firstDataCol="0"/>
  <pivotFields count="15">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items count="3">
        <item x="0"/>
        <item x="1"/>
        <item t="default"/>
      </items>
    </pivotField>
    <pivotField showAll="0">
      <items count="4">
        <item x="0"/>
        <item x="2"/>
        <item x="1"/>
        <item t="default"/>
      </items>
    </pivotField>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items count="6">
        <item x="0"/>
        <item x="3"/>
        <item x="4"/>
        <item x="1"/>
        <item x="2"/>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dataField="1" showAll="0">
      <items count="3">
        <item x="0"/>
        <item x="1"/>
        <item t="default"/>
      </items>
    </pivotField>
  </pivotFields>
  <rowItems count="1">
    <i/>
  </rowItems>
  <colItems count="1">
    <i/>
  </colItems>
  <dataFields count="1">
    <dataField name="Count of Purchased Bike" fld="14"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5E1080-D84B-6041-A924-706D1E7CFD47}"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P54:P55" firstHeaderRow="1" firstDataRow="1" firstDataCol="0"/>
  <pivotFields count="15">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items count="3">
        <item x="0"/>
        <item x="1"/>
        <item t="default"/>
      </items>
    </pivotField>
    <pivotField showAll="0">
      <items count="4">
        <item x="0"/>
        <item x="2"/>
        <item x="1"/>
        <item t="default"/>
      </items>
    </pivotField>
    <pivotField showAll="0">
      <items count="3">
        <item x="0"/>
        <item h="1" x="1"/>
        <item t="default"/>
      </items>
    </pivotField>
    <pivotField numFmtId="164"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items count="6">
        <item x="0"/>
        <item x="3"/>
        <item x="4"/>
        <item x="1"/>
        <item x="2"/>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dataField="1" showAll="0">
      <items count="3">
        <item x="0"/>
        <item x="1"/>
        <item t="default"/>
      </items>
    </pivotField>
  </pivotFields>
  <rowItems count="1">
    <i/>
  </rowItems>
  <colItems count="1">
    <i/>
  </colItems>
  <dataFields count="1">
    <dataField name="Count of Purchased Bike" fld="14" subtotal="count" showDataAs="percentOfTotal" baseField="14"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D28DB1-F7C7-BF48-AAFD-10E0D39F12B7}"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B16" firstHeaderRow="1" firstDataRow="1" firstDataCol="1"/>
  <pivotFields count="15">
    <pivotField showAll="0"/>
    <pivotField showAll="0"/>
    <pivotField showAll="0"/>
    <pivotField showAll="0"/>
    <pivotField showAll="0"/>
    <pivotField dataField="1" numFmtId="164"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14"/>
  </rowFields>
  <rowItems count="3">
    <i>
      <x/>
    </i>
    <i>
      <x v="1"/>
    </i>
    <i t="grand">
      <x/>
    </i>
  </rowItems>
  <colItems count="1">
    <i/>
  </colItems>
  <dataFields count="1">
    <dataField name="Average of Income" fld="5" subtotal="average" baseField="0" baseItem="0" numFmtId="164"/>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52549E-873D-7E48-8CB6-0B80486BB1F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1:D106" firstHeaderRow="1" firstDataRow="2" firstDataCol="1"/>
  <pivotFields count="15">
    <pivotField dataField="1" showAll="0"/>
    <pivotField showAll="0"/>
    <pivotField showAll="0"/>
    <pivotField showAll="0">
      <items count="4">
        <item x="0"/>
        <item x="2"/>
        <item x="1"/>
        <item t="default"/>
      </items>
    </pivotField>
    <pivotField showAll="0">
      <items count="3">
        <item x="0"/>
        <item x="1"/>
        <item t="default"/>
      </items>
    </pivotField>
    <pivotField numFmtId="164"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showAll="0">
      <items count="3">
        <item x="0"/>
        <item x="1"/>
        <item t="default"/>
      </items>
    </pivotField>
  </pivotFields>
  <rowFields count="1">
    <field x="13"/>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4"/>
  </colFields>
  <colItems count="3">
    <i>
      <x/>
    </i>
    <i>
      <x v="1"/>
    </i>
    <i t="grand">
      <x/>
    </i>
  </colItems>
  <dataFields count="1">
    <dataField name="Sum of ID" fld="0" showDataAs="percentOfRow" baseField="0" baseItem="0" numFmtId="10"/>
  </dataFields>
  <chartFormats count="12">
    <chartFormat chart="5" format="0" series="1">
      <pivotArea type="data" outline="0" fieldPosition="0">
        <references count="2">
          <reference field="4294967294" count="1" selected="0">
            <x v="0"/>
          </reference>
          <reference field="14" count="1" selected="0">
            <x v="0"/>
          </reference>
        </references>
      </pivotArea>
    </chartFormat>
    <chartFormat chart="5" format="1" series="1">
      <pivotArea type="data" outline="0" fieldPosition="0">
        <references count="2">
          <reference field="4294967294" count="1" selected="0">
            <x v="0"/>
          </reference>
          <reference field="14" count="1" selected="0">
            <x v="1"/>
          </reference>
        </references>
      </pivotArea>
    </chartFormat>
    <chartFormat chart="7" format="0" series="1">
      <pivotArea type="data" outline="0" fieldPosition="0">
        <references count="2">
          <reference field="4294967294" count="1" selected="0">
            <x v="0"/>
          </reference>
          <reference field="14" count="1" selected="0">
            <x v="0"/>
          </reference>
        </references>
      </pivotArea>
    </chartFormat>
    <chartFormat chart="7" format="1" series="1">
      <pivotArea type="data" outline="0" fieldPosition="0">
        <references count="2">
          <reference field="4294967294" count="1" selected="0">
            <x v="0"/>
          </reference>
          <reference field="14" count="1" selected="0">
            <x v="1"/>
          </reference>
        </references>
      </pivotArea>
    </chartFormat>
    <chartFormat chart="8" format="0" series="1">
      <pivotArea type="data" outline="0" fieldPosition="0">
        <references count="2">
          <reference field="4294967294" count="1" selected="0">
            <x v="0"/>
          </reference>
          <reference field="14" count="1" selected="0">
            <x v="0"/>
          </reference>
        </references>
      </pivotArea>
    </chartFormat>
    <chartFormat chart="8" format="1" series="1">
      <pivotArea type="data" outline="0" fieldPosition="0">
        <references count="2">
          <reference field="4294967294" count="1" selected="0">
            <x v="0"/>
          </reference>
          <reference field="14" count="1" selected="0">
            <x v="1"/>
          </reference>
        </references>
      </pivotArea>
    </chartFormat>
    <chartFormat chart="10" format="0" series="1">
      <pivotArea type="data" outline="0" fieldPosition="0">
        <references count="2">
          <reference field="4294967294" count="1" selected="0">
            <x v="0"/>
          </reference>
          <reference field="14" count="1" selected="0">
            <x v="0"/>
          </reference>
        </references>
      </pivotArea>
    </chartFormat>
    <chartFormat chart="10" format="1" series="1">
      <pivotArea type="data" outline="0" fieldPosition="0">
        <references count="2">
          <reference field="4294967294" count="1" selected="0">
            <x v="0"/>
          </reference>
          <reference field="14" count="1" selected="0">
            <x v="1"/>
          </reference>
        </references>
      </pivotArea>
    </chartFormat>
    <chartFormat chart="11" format="2" series="1">
      <pivotArea type="data" outline="0" fieldPosition="0">
        <references count="2">
          <reference field="4294967294" count="1" selected="0">
            <x v="0"/>
          </reference>
          <reference field="14" count="1" selected="0">
            <x v="0"/>
          </reference>
        </references>
      </pivotArea>
    </chartFormat>
    <chartFormat chart="11" format="3" series="1">
      <pivotArea type="data" outline="0" fieldPosition="0">
        <references count="2">
          <reference field="4294967294" count="1" selected="0">
            <x v="0"/>
          </reference>
          <reference field="14" count="1" selected="0">
            <x v="1"/>
          </reference>
        </references>
      </pivotArea>
    </chartFormat>
    <chartFormat chart="14" format="4" series="1">
      <pivotArea type="data" outline="0" fieldPosition="0">
        <references count="2">
          <reference field="4294967294" count="1" selected="0">
            <x v="0"/>
          </reference>
          <reference field="14" count="1" selected="0">
            <x v="0"/>
          </reference>
        </references>
      </pivotArea>
    </chartFormat>
    <chartFormat chart="1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360B82-203A-8343-8047-A75503097C41}"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P31:S48" firstHeaderRow="1" firstDataRow="2" firstDataCol="1"/>
  <pivotFields count="15">
    <pivotField dataFiel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items count="3">
        <item x="0"/>
        <item x="1"/>
        <item t="default"/>
      </items>
    </pivotField>
    <pivotField showAll="0">
      <items count="4">
        <item x="0"/>
        <item x="2"/>
        <item x="1"/>
        <item t="default"/>
      </items>
    </pivotField>
    <pivotField axis="axisRow"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axis="axisRow"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items count="6">
        <item x="0"/>
        <item x="3"/>
        <item x="4"/>
        <item x="1"/>
        <item x="2"/>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showAll="0">
      <items count="3">
        <item x="0"/>
        <item x="1"/>
        <item t="default"/>
      </items>
    </pivotField>
  </pivotFields>
  <rowFields count="2">
    <field x="7"/>
    <field x="4"/>
  </rowFields>
  <rowItems count="16">
    <i>
      <x/>
    </i>
    <i r="1">
      <x/>
    </i>
    <i r="1">
      <x v="1"/>
    </i>
    <i>
      <x v="1"/>
    </i>
    <i r="1">
      <x/>
    </i>
    <i r="1">
      <x v="1"/>
    </i>
    <i>
      <x v="2"/>
    </i>
    <i r="1">
      <x/>
    </i>
    <i r="1">
      <x v="1"/>
    </i>
    <i>
      <x v="3"/>
    </i>
    <i r="1">
      <x/>
    </i>
    <i r="1">
      <x v="1"/>
    </i>
    <i>
      <x v="4"/>
    </i>
    <i r="1">
      <x/>
    </i>
    <i r="1">
      <x v="1"/>
    </i>
    <i t="grand">
      <x/>
    </i>
  </rowItems>
  <colFields count="1">
    <field x="14"/>
  </colFields>
  <colItems count="3">
    <i>
      <x/>
    </i>
    <i>
      <x v="1"/>
    </i>
    <i t="grand">
      <x/>
    </i>
  </colItems>
  <dataFields count="1">
    <dataField name="Count of ID" fld="0" subtotal="count" baseField="0" baseItem="0"/>
  </dataFields>
  <chartFormats count="23">
    <chartFormat chart="12" format="0" series="1">
      <pivotArea type="data" outline="0" fieldPosition="0">
        <references count="2">
          <reference field="4294967294" count="1" selected="0">
            <x v="0"/>
          </reference>
          <reference field="14" count="1" selected="0">
            <x v="0"/>
          </reference>
        </references>
      </pivotArea>
    </chartFormat>
    <chartFormat chart="12" format="1" series="1">
      <pivotArea type="data" outline="0" fieldPosition="0">
        <references count="2">
          <reference field="4294967294" count="1" selected="0">
            <x v="0"/>
          </reference>
          <reference field="14" count="1" selected="0">
            <x v="1"/>
          </reference>
        </references>
      </pivotArea>
    </chartFormat>
    <chartFormat chart="12" format="2">
      <pivotArea type="data" outline="0" fieldPosition="0">
        <references count="4">
          <reference field="4294967294" count="1" selected="0">
            <x v="0"/>
          </reference>
          <reference field="4" count="1" selected="0">
            <x v="0"/>
          </reference>
          <reference field="7" count="1" selected="0">
            <x v="0"/>
          </reference>
          <reference field="14" count="1" selected="0">
            <x v="0"/>
          </reference>
        </references>
      </pivotArea>
    </chartFormat>
    <chartFormat chart="12" format="3">
      <pivotArea type="data" outline="0" fieldPosition="0">
        <references count="4">
          <reference field="4294967294" count="1" selected="0">
            <x v="0"/>
          </reference>
          <reference field="4" count="1" selected="0">
            <x v="1"/>
          </reference>
          <reference field="7" count="1" selected="0">
            <x v="0"/>
          </reference>
          <reference field="14" count="1" selected="0">
            <x v="0"/>
          </reference>
        </references>
      </pivotArea>
    </chartFormat>
    <chartFormat chart="12" format="4">
      <pivotArea type="data" outline="0" fieldPosition="0">
        <references count="4">
          <reference field="4294967294" count="1" selected="0">
            <x v="0"/>
          </reference>
          <reference field="4" count="1" selected="0">
            <x v="0"/>
          </reference>
          <reference field="7" count="1" selected="0">
            <x v="1"/>
          </reference>
          <reference field="14" count="1" selected="0">
            <x v="0"/>
          </reference>
        </references>
      </pivotArea>
    </chartFormat>
    <chartFormat chart="12" format="5">
      <pivotArea type="data" outline="0" fieldPosition="0">
        <references count="4">
          <reference field="4294967294" count="1" selected="0">
            <x v="0"/>
          </reference>
          <reference field="4" count="1" selected="0">
            <x v="1"/>
          </reference>
          <reference field="7" count="1" selected="0">
            <x v="1"/>
          </reference>
          <reference field="14" count="1" selected="0">
            <x v="0"/>
          </reference>
        </references>
      </pivotArea>
    </chartFormat>
    <chartFormat chart="12" format="6">
      <pivotArea type="data" outline="0" fieldPosition="0">
        <references count="4">
          <reference field="4294967294" count="1" selected="0">
            <x v="0"/>
          </reference>
          <reference field="4" count="1" selected="0">
            <x v="0"/>
          </reference>
          <reference field="7" count="1" selected="0">
            <x v="2"/>
          </reference>
          <reference field="14" count="1" selected="0">
            <x v="0"/>
          </reference>
        </references>
      </pivotArea>
    </chartFormat>
    <chartFormat chart="12" format="7">
      <pivotArea type="data" outline="0" fieldPosition="0">
        <references count="4">
          <reference field="4294967294" count="1" selected="0">
            <x v="0"/>
          </reference>
          <reference field="4" count="1" selected="0">
            <x v="1"/>
          </reference>
          <reference field="7" count="1" selected="0">
            <x v="2"/>
          </reference>
          <reference field="14" count="1" selected="0">
            <x v="0"/>
          </reference>
        </references>
      </pivotArea>
    </chartFormat>
    <chartFormat chart="12" format="8">
      <pivotArea type="data" outline="0" fieldPosition="0">
        <references count="4">
          <reference field="4294967294" count="1" selected="0">
            <x v="0"/>
          </reference>
          <reference field="4" count="1" selected="0">
            <x v="0"/>
          </reference>
          <reference field="7" count="1" selected="0">
            <x v="3"/>
          </reference>
          <reference field="14" count="1" selected="0">
            <x v="0"/>
          </reference>
        </references>
      </pivotArea>
    </chartFormat>
    <chartFormat chart="12" format="9">
      <pivotArea type="data" outline="0" fieldPosition="0">
        <references count="4">
          <reference field="4294967294" count="1" selected="0">
            <x v="0"/>
          </reference>
          <reference field="4" count="1" selected="0">
            <x v="1"/>
          </reference>
          <reference field="7" count="1" selected="0">
            <x v="3"/>
          </reference>
          <reference field="14" count="1" selected="0">
            <x v="0"/>
          </reference>
        </references>
      </pivotArea>
    </chartFormat>
    <chartFormat chart="12" format="10">
      <pivotArea type="data" outline="0" fieldPosition="0">
        <references count="4">
          <reference field="4294967294" count="1" selected="0">
            <x v="0"/>
          </reference>
          <reference field="4" count="1" selected="0">
            <x v="0"/>
          </reference>
          <reference field="7" count="1" selected="0">
            <x v="4"/>
          </reference>
          <reference field="14" count="1" selected="0">
            <x v="0"/>
          </reference>
        </references>
      </pivotArea>
    </chartFormat>
    <chartFormat chart="12" format="11">
      <pivotArea type="data" outline="0" fieldPosition="0">
        <references count="4">
          <reference field="4294967294" count="1" selected="0">
            <x v="0"/>
          </reference>
          <reference field="4" count="1" selected="0">
            <x v="1"/>
          </reference>
          <reference field="7" count="1" selected="0">
            <x v="4"/>
          </reference>
          <reference field="14" count="1" selected="0">
            <x v="0"/>
          </reference>
        </references>
      </pivotArea>
    </chartFormat>
    <chartFormat chart="12" format="12">
      <pivotArea type="data" outline="0" fieldPosition="0">
        <references count="4">
          <reference field="4294967294" count="1" selected="0">
            <x v="0"/>
          </reference>
          <reference field="4" count="1" selected="0">
            <x v="0"/>
          </reference>
          <reference field="7" count="1" selected="0">
            <x v="0"/>
          </reference>
          <reference field="14" count="1" selected="0">
            <x v="1"/>
          </reference>
        </references>
      </pivotArea>
    </chartFormat>
    <chartFormat chart="12" format="13">
      <pivotArea type="data" outline="0" fieldPosition="0">
        <references count="4">
          <reference field="4294967294" count="1" selected="0">
            <x v="0"/>
          </reference>
          <reference field="4" count="1" selected="0">
            <x v="1"/>
          </reference>
          <reference field="7" count="1" selected="0">
            <x v="0"/>
          </reference>
          <reference field="14" count="1" selected="0">
            <x v="1"/>
          </reference>
        </references>
      </pivotArea>
    </chartFormat>
    <chartFormat chart="12" format="14">
      <pivotArea type="data" outline="0" fieldPosition="0">
        <references count="4">
          <reference field="4294967294" count="1" selected="0">
            <x v="0"/>
          </reference>
          <reference field="4" count="1" selected="0">
            <x v="0"/>
          </reference>
          <reference field="7" count="1" selected="0">
            <x v="1"/>
          </reference>
          <reference field="14" count="1" selected="0">
            <x v="1"/>
          </reference>
        </references>
      </pivotArea>
    </chartFormat>
    <chartFormat chart="12" format="15">
      <pivotArea type="data" outline="0" fieldPosition="0">
        <references count="4">
          <reference field="4294967294" count="1" selected="0">
            <x v="0"/>
          </reference>
          <reference field="4" count="1" selected="0">
            <x v="1"/>
          </reference>
          <reference field="7" count="1" selected="0">
            <x v="1"/>
          </reference>
          <reference field="14" count="1" selected="0">
            <x v="1"/>
          </reference>
        </references>
      </pivotArea>
    </chartFormat>
    <chartFormat chart="12" format="16">
      <pivotArea type="data" outline="0" fieldPosition="0">
        <references count="4">
          <reference field="4294967294" count="1" selected="0">
            <x v="0"/>
          </reference>
          <reference field="4" count="1" selected="0">
            <x v="0"/>
          </reference>
          <reference field="7" count="1" selected="0">
            <x v="2"/>
          </reference>
          <reference field="14" count="1" selected="0">
            <x v="1"/>
          </reference>
        </references>
      </pivotArea>
    </chartFormat>
    <chartFormat chart="12" format="17">
      <pivotArea type="data" outline="0" fieldPosition="0">
        <references count="4">
          <reference field="4294967294" count="1" selected="0">
            <x v="0"/>
          </reference>
          <reference field="4" count="1" selected="0">
            <x v="1"/>
          </reference>
          <reference field="7" count="1" selected="0">
            <x v="2"/>
          </reference>
          <reference field="14" count="1" selected="0">
            <x v="1"/>
          </reference>
        </references>
      </pivotArea>
    </chartFormat>
    <chartFormat chart="12" format="18">
      <pivotArea type="data" outline="0" fieldPosition="0">
        <references count="4">
          <reference field="4294967294" count="1" selected="0">
            <x v="0"/>
          </reference>
          <reference field="4" count="1" selected="0">
            <x v="0"/>
          </reference>
          <reference field="7" count="1" selected="0">
            <x v="3"/>
          </reference>
          <reference field="14" count="1" selected="0">
            <x v="1"/>
          </reference>
        </references>
      </pivotArea>
    </chartFormat>
    <chartFormat chart="12" format="19">
      <pivotArea type="data" outline="0" fieldPosition="0">
        <references count="4">
          <reference field="4294967294" count="1" selected="0">
            <x v="0"/>
          </reference>
          <reference field="4" count="1" selected="0">
            <x v="1"/>
          </reference>
          <reference field="7" count="1" selected="0">
            <x v="3"/>
          </reference>
          <reference field="14" count="1" selected="0">
            <x v="1"/>
          </reference>
        </references>
      </pivotArea>
    </chartFormat>
    <chartFormat chart="12" format="20">
      <pivotArea type="data" outline="0" fieldPosition="0">
        <references count="4">
          <reference field="4294967294" count="1" selected="0">
            <x v="0"/>
          </reference>
          <reference field="4" count="1" selected="0">
            <x v="0"/>
          </reference>
          <reference field="7" count="1" selected="0">
            <x v="4"/>
          </reference>
          <reference field="14" count="1" selected="0">
            <x v="1"/>
          </reference>
        </references>
      </pivotArea>
    </chartFormat>
    <chartFormat chart="12" format="21">
      <pivotArea type="data" outline="0" fieldPosition="0">
        <references count="4">
          <reference field="4294967294" count="1" selected="0">
            <x v="0"/>
          </reference>
          <reference field="4" count="1" selected="0">
            <x v="1"/>
          </reference>
          <reference field="7" count="1" selected="0">
            <x v="4"/>
          </reference>
          <reference field="14" count="1" selected="0">
            <x v="1"/>
          </reference>
        </references>
      </pivotArea>
    </chartFormat>
    <chartFormat chart="12" format="2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F5CE9D-4045-D345-81AE-E7A5482CE6E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5">
    <pivotField dataField="1"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14"/>
  </rowFields>
  <rowItems count="3">
    <i>
      <x/>
    </i>
    <i>
      <x v="1"/>
    </i>
    <i t="grand">
      <x/>
    </i>
  </rowItems>
  <colItems count="1">
    <i/>
  </colItems>
  <dataFields count="1">
    <dataField name="Sum of ID" fld="0"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4" count="1" selected="0">
            <x v="0"/>
          </reference>
        </references>
      </pivotArea>
    </chartFormat>
    <chartFormat chart="2"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3E35C6-E609-F241-9E80-085A85A5CD1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P3:S10" firstHeaderRow="1" firstDataRow="2" firstDataCol="1"/>
  <pivotFields count="15">
    <pivotField dataField="1" showAll="0"/>
    <pivotField showAll="0"/>
    <pivotField showAll="0"/>
    <pivotField showAll="0"/>
    <pivotField showAll="0"/>
    <pivotField numFmtId="164" showAll="0"/>
    <pivotField showAll="0"/>
    <pivotField showAll="0"/>
    <pivotField showAll="0"/>
    <pivotField showAll="0"/>
    <pivotField showAll="0"/>
    <pivotField axis="axisRow" showAll="0">
      <items count="6">
        <item x="0"/>
        <item x="3"/>
        <item x="4"/>
        <item x="1"/>
        <item x="2"/>
        <item t="default"/>
      </items>
    </pivotField>
    <pivotField showAll="0">
      <items count="4">
        <item x="0"/>
        <item x="2"/>
        <item x="1"/>
        <item t="default"/>
      </items>
    </pivotField>
    <pivotField showAll="0"/>
    <pivotField axis="axisCol" showAll="0">
      <items count="3">
        <item x="0"/>
        <item x="1"/>
        <item t="default"/>
      </items>
    </pivotField>
  </pivotFields>
  <rowFields count="1">
    <field x="11"/>
  </rowFields>
  <rowItems count="6">
    <i>
      <x/>
    </i>
    <i>
      <x v="1"/>
    </i>
    <i>
      <x v="2"/>
    </i>
    <i>
      <x v="3"/>
    </i>
    <i>
      <x v="4"/>
    </i>
    <i t="grand">
      <x/>
    </i>
  </rowItems>
  <colFields count="1">
    <field x="14"/>
  </colFields>
  <colItems count="3">
    <i>
      <x/>
    </i>
    <i>
      <x v="1"/>
    </i>
    <i t="grand">
      <x/>
    </i>
  </colItems>
  <dataFields count="1">
    <dataField name="Sum of ID" fld="0" showDataAs="percentOfRow" baseField="0" baseItem="0" numFmtId="10"/>
  </dataFields>
  <chartFormats count="6">
    <chartFormat chart="5" format="0" series="1">
      <pivotArea type="data" outline="0" fieldPosition="0">
        <references count="2">
          <reference field="4294967294" count="1" selected="0">
            <x v="0"/>
          </reference>
          <reference field="14" count="1" selected="0">
            <x v="0"/>
          </reference>
        </references>
      </pivotArea>
    </chartFormat>
    <chartFormat chart="5" format="1" series="1">
      <pivotArea type="data" outline="0" fieldPosition="0">
        <references count="2">
          <reference field="4294967294" count="1" selected="0">
            <x v="0"/>
          </reference>
          <reference field="14" count="1" selected="0">
            <x v="1"/>
          </reference>
        </references>
      </pivotArea>
    </chartFormat>
    <chartFormat chart="7" format="0" series="1">
      <pivotArea type="data" outline="0" fieldPosition="0">
        <references count="2">
          <reference field="4294967294" count="1" selected="0">
            <x v="0"/>
          </reference>
          <reference field="14" count="1" selected="0">
            <x v="0"/>
          </reference>
        </references>
      </pivotArea>
    </chartFormat>
    <chartFormat chart="7" format="1" series="1">
      <pivotArea type="data" outline="0" fieldPosition="0">
        <references count="2">
          <reference field="4294967294" count="1" selected="0">
            <x v="0"/>
          </reference>
          <reference field="14" count="1" selected="0">
            <x v="1"/>
          </reference>
        </references>
      </pivotArea>
    </chartFormat>
    <chartFormat chart="12" format="4" series="1">
      <pivotArea type="data" outline="0" fieldPosition="0">
        <references count="2">
          <reference field="4294967294" count="1" selected="0">
            <x v="0"/>
          </reference>
          <reference field="14" count="1" selected="0">
            <x v="0"/>
          </reference>
        </references>
      </pivotArea>
    </chartFormat>
    <chartFormat chart="1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FF495C-2825-8440-998C-523944CA78B1}"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30:L37" firstHeaderRow="1" firstDataRow="2" firstDataCol="1"/>
  <pivotFields count="15">
    <pivotField dataField="1" showAll="0"/>
    <pivotField showAll="0"/>
    <pivotField showAll="0"/>
    <pivotField showAll="0"/>
    <pivotField showAll="0"/>
    <pivotField numFmtId="164" showAll="0"/>
    <pivotField showAll="0"/>
    <pivotField axis="axisRow"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Col" showAll="0">
      <items count="3">
        <item x="0"/>
        <item x="1"/>
        <item t="default"/>
      </items>
    </pivotField>
  </pivotFields>
  <rowFields count="1">
    <field x="7"/>
  </rowFields>
  <rowItems count="6">
    <i>
      <x/>
    </i>
    <i>
      <x v="1"/>
    </i>
    <i>
      <x v="2"/>
    </i>
    <i>
      <x v="3"/>
    </i>
    <i>
      <x v="4"/>
    </i>
    <i t="grand">
      <x/>
    </i>
  </rowItems>
  <colFields count="1">
    <field x="14"/>
  </colFields>
  <colItems count="3">
    <i>
      <x/>
    </i>
    <i>
      <x v="1"/>
    </i>
    <i t="grand">
      <x/>
    </i>
  </colItems>
  <dataFields count="1">
    <dataField name="Sum of ID" fld="0" showDataAs="percentOfRow" baseField="0" baseItem="0" numFmtId="10"/>
  </dataFields>
  <conditionalFormats count="1">
    <conditionalFormat priority="1">
      <pivotAreas count="1">
        <pivotArea type="all" outline="0" fieldPosition="0"/>
      </pivotAreas>
    </conditionalFormat>
  </conditionalFormats>
  <chartFormats count="4">
    <chartFormat chart="5" format="0" series="1">
      <pivotArea type="data" outline="0" fieldPosition="0">
        <references count="2">
          <reference field="4294967294" count="1" selected="0">
            <x v="0"/>
          </reference>
          <reference field="14" count="1" selected="0">
            <x v="0"/>
          </reference>
        </references>
      </pivotArea>
    </chartFormat>
    <chartFormat chart="5" format="1" series="1">
      <pivotArea type="data" outline="0" fieldPosition="0">
        <references count="2">
          <reference field="4294967294" count="1" selected="0">
            <x v="0"/>
          </reference>
          <reference field="14" count="1" selected="0">
            <x v="1"/>
          </reference>
        </references>
      </pivotArea>
    </chartFormat>
    <chartFormat chart="7" format="0" series="1">
      <pivotArea type="data" outline="0" fieldPosition="0">
        <references count="2">
          <reference field="4294967294" count="1" selected="0">
            <x v="0"/>
          </reference>
          <reference field="14" count="1" selected="0">
            <x v="0"/>
          </reference>
        </references>
      </pivotArea>
    </chartFormat>
    <chartFormat chart="7"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D71E16-2C9A-9E49-B97E-B20010C8EA7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4:L9" firstHeaderRow="1" firstDataRow="2" firstDataCol="1"/>
  <pivotFields count="15">
    <pivotField dataField="1" showAll="0"/>
    <pivotField showAll="0"/>
    <pivotField showAll="0"/>
    <pivotField showAll="0"/>
    <pivotField showAll="0"/>
    <pivotField numFmtId="164" showAll="0"/>
    <pivotField showAll="0"/>
    <pivotField showAll="0"/>
    <pivotField showAll="0"/>
    <pivotField showAll="0"/>
    <pivotField showAll="0"/>
    <pivotField showAll="0"/>
    <pivotField axis="axisRow" showAll="0">
      <items count="4">
        <item x="0"/>
        <item x="2"/>
        <item x="1"/>
        <item t="default"/>
      </items>
    </pivotField>
    <pivotField showAll="0"/>
    <pivotField axis="axisCol" showAll="0">
      <items count="3">
        <item x="0"/>
        <item x="1"/>
        <item t="default"/>
      </items>
    </pivotField>
  </pivotFields>
  <rowFields count="1">
    <field x="12"/>
  </rowFields>
  <rowItems count="4">
    <i>
      <x/>
    </i>
    <i>
      <x v="1"/>
    </i>
    <i>
      <x v="2"/>
    </i>
    <i t="grand">
      <x/>
    </i>
  </rowItems>
  <colFields count="1">
    <field x="14"/>
  </colFields>
  <colItems count="3">
    <i>
      <x/>
    </i>
    <i>
      <x v="1"/>
    </i>
    <i t="grand">
      <x/>
    </i>
  </colItems>
  <dataFields count="1">
    <dataField name="Sum of ID" fld="0" showDataAs="percentOfRow" baseField="0" baseItem="0" numFmtId="10"/>
  </dataFields>
  <chartFormats count="6">
    <chartFormat chart="5" format="0" series="1">
      <pivotArea type="data" outline="0" fieldPosition="0">
        <references count="2">
          <reference field="4294967294" count="1" selected="0">
            <x v="0"/>
          </reference>
          <reference field="14" count="1" selected="0">
            <x v="0"/>
          </reference>
        </references>
      </pivotArea>
    </chartFormat>
    <chartFormat chart="5" format="1" series="1">
      <pivotArea type="data" outline="0" fieldPosition="0">
        <references count="2">
          <reference field="4294967294" count="1" selected="0">
            <x v="0"/>
          </reference>
          <reference field="14" count="1" selected="0">
            <x v="1"/>
          </reference>
        </references>
      </pivotArea>
    </chartFormat>
    <chartFormat chart="7" format="0" series="1">
      <pivotArea type="data" outline="0" fieldPosition="0">
        <references count="2">
          <reference field="4294967294" count="1" selected="0">
            <x v="0"/>
          </reference>
          <reference field="14" count="1" selected="0">
            <x v="0"/>
          </reference>
        </references>
      </pivotArea>
    </chartFormat>
    <chartFormat chart="7" format="1" series="1">
      <pivotArea type="data" outline="0" fieldPosition="0">
        <references count="2">
          <reference field="4294967294" count="1" selected="0">
            <x v="0"/>
          </reference>
          <reference field="14" count="1" selected="0">
            <x v="1"/>
          </reference>
        </references>
      </pivotArea>
    </chartFormat>
    <chartFormat chart="9" format="4" series="1">
      <pivotArea type="data" outline="0" fieldPosition="0">
        <references count="2">
          <reference field="4294967294" count="1" selected="0">
            <x v="0"/>
          </reference>
          <reference field="14" count="1" selected="0">
            <x v="0"/>
          </reference>
        </references>
      </pivotArea>
    </chartFormat>
    <chartFormat chart="9"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EF96F8-9E13-1544-A476-86D88581D33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9:D37" firstHeaderRow="1" firstDataRow="2" firstDataCol="1"/>
  <pivotFields count="15">
    <pivotField dataField="1" showAll="0"/>
    <pivotField showAll="0"/>
    <pivotField axis="axisRow" showAll="0">
      <items count="3">
        <item x="0"/>
        <item x="1"/>
        <item t="default"/>
      </items>
    </pivotField>
    <pivotField showAll="0">
      <items count="4">
        <item x="0"/>
        <item x="2"/>
        <item x="1"/>
        <item t="default"/>
      </items>
    </pivotField>
    <pivotField axis="axisRow" showAll="0">
      <items count="3">
        <item x="0"/>
        <item x="1"/>
        <item t="default"/>
      </items>
    </pivotField>
    <pivotField numFmtId="164"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2">
    <field x="4"/>
    <field x="2"/>
  </rowFields>
  <rowItems count="7">
    <i>
      <x/>
    </i>
    <i r="1">
      <x/>
    </i>
    <i r="1">
      <x v="1"/>
    </i>
    <i>
      <x v="1"/>
    </i>
    <i r="1">
      <x/>
    </i>
    <i r="1">
      <x v="1"/>
    </i>
    <i t="grand">
      <x/>
    </i>
  </rowItems>
  <colFields count="1">
    <field x="14"/>
  </colFields>
  <colItems count="3">
    <i>
      <x/>
    </i>
    <i>
      <x v="1"/>
    </i>
    <i t="grand">
      <x/>
    </i>
  </colItems>
  <dataFields count="1">
    <dataField name="Sum of ID" fld="0" showDataAs="percentOfRow" baseField="0" baseItem="0" numFmtId="10"/>
  </dataFields>
  <chartFormats count="4">
    <chartFormat chart="5" format="0" series="1">
      <pivotArea type="data" outline="0" fieldPosition="0">
        <references count="2">
          <reference field="4294967294" count="1" selected="0">
            <x v="0"/>
          </reference>
          <reference field="14" count="1" selected="0">
            <x v="0"/>
          </reference>
        </references>
      </pivotArea>
    </chartFormat>
    <chartFormat chart="5" format="1" series="1">
      <pivotArea type="data" outline="0" fieldPosition="0">
        <references count="2">
          <reference field="4294967294" count="1" selected="0">
            <x v="0"/>
          </reference>
          <reference field="14" count="1" selected="0">
            <x v="1"/>
          </reference>
        </references>
      </pivotArea>
    </chartFormat>
    <chartFormat chart="9" format="6" series="1">
      <pivotArea type="data" outline="0" fieldPosition="0">
        <references count="2">
          <reference field="4294967294" count="1" selected="0">
            <x v="0"/>
          </reference>
          <reference field="14" count="1" selected="0">
            <x v="0"/>
          </reference>
        </references>
      </pivotArea>
    </chartFormat>
    <chartFormat chart="9" format="7"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Full" xr10:uid="{C646C4C0-D6D5-7844-B633-4080E33CFDCD}" sourceName="Marital Full">
  <pivotTables>
    <pivotTable tabId="3" name="PivotTable3"/>
  </pivotTables>
  <data>
    <tabular pivotCacheId="68688077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C927D0D6-E846-904F-9428-2172F3BA3001}" sourceName="Age">
  <pivotTables>
    <pivotTable tabId="3" name="PivotTable4"/>
  </pivotTables>
  <data>
    <tabular pivotCacheId="686880774">
      <items count="53">
        <i x="37" s="1"/>
        <i x="22" s="1"/>
        <i x="40" s="1"/>
        <i x="26" s="1"/>
        <i x="19" s="1"/>
        <i x="25" s="1"/>
        <i x="23" s="1"/>
        <i x="21" s="1"/>
        <i x="6" s="1"/>
        <i x="17" s="1"/>
        <i x="11" s="1"/>
        <i x="4" s="1"/>
        <i x="34" s="1"/>
        <i x="13" s="1"/>
        <i x="32" s="1"/>
        <i x="8" s="1"/>
        <i x="3" s="1"/>
        <i x="0" s="1"/>
        <i x="1" s="1"/>
        <i x="20" s="1"/>
        <i x="12" s="1"/>
        <i x="30" s="1"/>
        <i x="15" s="1"/>
        <i x="28" s="1"/>
        <i x="38" s="1"/>
        <i x="5" s="1"/>
        <i x="36" s="1"/>
        <i x="31" s="1"/>
        <i x="39" s="1"/>
        <i x="9" s="1"/>
        <i x="10" s="1"/>
        <i x="16" s="1"/>
        <i x="42" s="1"/>
        <i x="7" s="1"/>
        <i x="14" s="1"/>
        <i x="2" s="1"/>
        <i x="33" s="1"/>
        <i x="24" s="1"/>
        <i x="18" s="1"/>
        <i x="46" s="1"/>
        <i x="27" s="1"/>
        <i x="29" s="1"/>
        <i x="41" s="1"/>
        <i x="35" s="1"/>
        <i x="45" s="1"/>
        <i x="43" s="1"/>
        <i x="51" s="1"/>
        <i x="52" s="1"/>
        <i x="49" s="1"/>
        <i x="50" s="1"/>
        <i x="44" s="1"/>
        <i x="48" s="1"/>
        <i x="4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1" xr10:uid="{D4857716-3092-F840-A8D7-F7BECA6D9DB8}" sourceName="Purchased Bike">
  <pivotTables>
    <pivotTable tabId="3" name="PivotTable7"/>
  </pivotTables>
  <data>
    <tabular pivotCacheId="68688077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Full 1" xr10:uid="{AEBA0A05-E88C-DF4F-8D1B-8EC393977F6F}" cache="Slicer_Marital_Full" caption="Marital Full" rowHeight="230716"/>
  <slicer name="Age 1" xr10:uid="{F6B12CD9-73B5-E947-8211-358EBB08EEC5}" cache="Slicer_Age" caption="Age" startItem="13" rowHeight="230716"/>
  <slicer name="Purchased Bike 1" xr10:uid="{37CB30EF-FDFF-2E4F-9D8F-016C083672F5}" cache="Slicer_Purchased_Bike1" caption="Purchased Bik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2DB503-291B-D448-8960-221484BE1EC0}" name="Table1" displayName="Table1" ref="A1:O1001" totalsRowShown="0">
  <autoFilter ref="A1:O1001" xr:uid="{D72DB503-291B-D448-8960-221484BE1EC0}"/>
  <tableColumns count="15">
    <tableColumn id="1" xr3:uid="{41B5EECE-7775-7949-AAE5-82C7EB14A00D}" name="ID"/>
    <tableColumn id="2" xr3:uid="{F965133C-5738-3D4A-899D-91D0379C5608}" name="Marital Status"/>
    <tableColumn id="18" xr3:uid="{E8AB2F31-3ED4-8A4B-A596-C73892E8996F}" name="Marital Full" dataDxfId="0">
      <calculatedColumnFormula>IF(B2="M","Married","Single")</calculatedColumnFormula>
    </tableColumn>
    <tableColumn id="3" xr3:uid="{9FBE8362-0262-2E42-92E6-73179BF5B2F1}" name="Gender"/>
    <tableColumn id="17" xr3:uid="{1EA9B652-C3E3-EA4F-9B37-FCFDE81A9726}" name="Gender Full" dataDxfId="1">
      <calculatedColumnFormula>IF(D2="F","Female","Male")</calculatedColumnFormula>
    </tableColumn>
    <tableColumn id="4" xr3:uid="{099B4A68-C39D-5449-81A9-82EEFBC4C491}" name="Income" dataDxfId="2"/>
    <tableColumn id="5" xr3:uid="{E709B765-BA82-664A-B14D-7163F464090D}" name="Children"/>
    <tableColumn id="6" xr3:uid="{1BC30947-7DE6-9346-AC2A-B89D9049E2E3}" name="Education"/>
    <tableColumn id="7" xr3:uid="{D8B0702F-83BD-F547-AAD2-A9E02B998548}" name="Occupation"/>
    <tableColumn id="8" xr3:uid="{5FBF7954-A490-F64D-98A4-469D0EF198C6}" name="Home Owner"/>
    <tableColumn id="9" xr3:uid="{C097F6D6-8A72-464E-B767-EB746A32E709}" name="Cars"/>
    <tableColumn id="10" xr3:uid="{DFB93F3D-C9B6-9842-8555-CB19243F46DD}" name="Commute Distance"/>
    <tableColumn id="11" xr3:uid="{FF2C4083-EA59-AD42-830A-7CCB5E3E318D}" name="Region"/>
    <tableColumn id="12" xr3:uid="{4F6921A0-7CB8-0D44-982D-9FBDDB7E6497}" name="Age"/>
    <tableColumn id="13" xr3:uid="{6E252A2D-B9CE-6E4A-AE25-2014EAE871AF}"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zoomScale="114" workbookViewId="0">
      <selection activeCell="P30" sqref="P30"/>
    </sheetView>
  </sheetViews>
  <sheetFormatPr baseColWidth="10" defaultColWidth="11.83203125" defaultRowHeight="15" x14ac:dyDescent="0.2"/>
  <cols>
    <col min="2" max="2" width="14.1640625" customWidth="1"/>
    <col min="3" max="3" width="14.1640625" style="16" customWidth="1"/>
    <col min="5" max="5" width="16.83203125" style="16" customWidth="1"/>
    <col min="9" max="9" width="12" customWidth="1"/>
    <col min="10" max="10" width="13.83203125" customWidth="1"/>
    <col min="12" max="12" width="18.33203125" customWidth="1"/>
    <col min="15" max="15" width="14.1640625" customWidth="1"/>
    <col min="16" max="16" width="22.1640625" customWidth="1"/>
    <col min="17" max="17" width="13.6640625" bestFit="1" customWidth="1"/>
    <col min="18" max="18" width="13.83203125" customWidth="1"/>
    <col min="20" max="20" width="13.6640625" customWidth="1"/>
  </cols>
  <sheetData>
    <row r="1" spans="1:21" x14ac:dyDescent="0.2">
      <c r="A1" t="s">
        <v>0</v>
      </c>
      <c r="B1" t="s">
        <v>1</v>
      </c>
      <c r="C1" s="16" t="s">
        <v>52</v>
      </c>
      <c r="D1" t="s">
        <v>2</v>
      </c>
      <c r="E1" s="16" t="s">
        <v>53</v>
      </c>
      <c r="F1" t="s">
        <v>3</v>
      </c>
      <c r="G1" t="s">
        <v>4</v>
      </c>
      <c r="H1" t="s">
        <v>5</v>
      </c>
      <c r="I1" t="s">
        <v>6</v>
      </c>
      <c r="J1" t="s">
        <v>7</v>
      </c>
      <c r="K1" t="s">
        <v>8</v>
      </c>
      <c r="L1" t="s">
        <v>9</v>
      </c>
      <c r="M1" t="s">
        <v>10</v>
      </c>
      <c r="N1" t="s">
        <v>11</v>
      </c>
      <c r="O1" t="s">
        <v>12</v>
      </c>
    </row>
    <row r="2" spans="1:21" x14ac:dyDescent="0.2">
      <c r="A2">
        <v>12496</v>
      </c>
      <c r="B2" t="s">
        <v>34</v>
      </c>
      <c r="C2" s="16" t="str">
        <f t="shared" ref="C2:C65" si="0">IF(B2="M","Married","Single")</f>
        <v>Married</v>
      </c>
      <c r="D2" t="s">
        <v>33</v>
      </c>
      <c r="E2" s="16" t="str">
        <f t="shared" ref="E2:E65" si="1">IF(D2="F","Female","Male")</f>
        <v>Female</v>
      </c>
      <c r="F2" s="1">
        <v>40000</v>
      </c>
      <c r="G2">
        <v>1</v>
      </c>
      <c r="H2" t="s">
        <v>13</v>
      </c>
      <c r="I2" t="s">
        <v>14</v>
      </c>
      <c r="J2" t="s">
        <v>15</v>
      </c>
      <c r="K2">
        <v>0</v>
      </c>
      <c r="L2" t="s">
        <v>16</v>
      </c>
      <c r="M2" t="s">
        <v>17</v>
      </c>
      <c r="N2">
        <v>42</v>
      </c>
      <c r="O2" t="s">
        <v>18</v>
      </c>
    </row>
    <row r="3" spans="1:21" x14ac:dyDescent="0.2">
      <c r="A3">
        <v>24107</v>
      </c>
      <c r="B3" t="s">
        <v>34</v>
      </c>
      <c r="C3" s="16" t="str">
        <f t="shared" si="0"/>
        <v>Married</v>
      </c>
      <c r="D3" t="s">
        <v>51</v>
      </c>
      <c r="E3" s="16" t="str">
        <f t="shared" si="1"/>
        <v>Male</v>
      </c>
      <c r="F3" s="1">
        <v>30000</v>
      </c>
      <c r="G3">
        <v>3</v>
      </c>
      <c r="H3" t="s">
        <v>19</v>
      </c>
      <c r="I3" t="s">
        <v>20</v>
      </c>
      <c r="J3" t="s">
        <v>15</v>
      </c>
      <c r="K3">
        <v>1</v>
      </c>
      <c r="L3" t="s">
        <v>16</v>
      </c>
      <c r="M3" t="s">
        <v>17</v>
      </c>
      <c r="N3">
        <v>43</v>
      </c>
      <c r="O3" t="s">
        <v>18</v>
      </c>
    </row>
    <row r="4" spans="1:21" ht="16" thickBot="1" x14ac:dyDescent="0.25">
      <c r="A4">
        <v>14177</v>
      </c>
      <c r="B4" t="s">
        <v>34</v>
      </c>
      <c r="C4" s="16" t="str">
        <f t="shared" si="0"/>
        <v>Married</v>
      </c>
      <c r="D4" t="s">
        <v>34</v>
      </c>
      <c r="E4" s="16" t="str">
        <f t="shared" si="1"/>
        <v>Male</v>
      </c>
      <c r="F4" s="1">
        <v>80000</v>
      </c>
      <c r="G4">
        <v>5</v>
      </c>
      <c r="H4" t="s">
        <v>19</v>
      </c>
      <c r="I4" t="s">
        <v>21</v>
      </c>
      <c r="J4" t="s">
        <v>18</v>
      </c>
      <c r="K4">
        <v>2</v>
      </c>
      <c r="L4" t="s">
        <v>22</v>
      </c>
      <c r="M4" t="s">
        <v>17</v>
      </c>
      <c r="N4">
        <v>60</v>
      </c>
      <c r="O4" t="s">
        <v>18</v>
      </c>
    </row>
    <row r="5" spans="1:21" x14ac:dyDescent="0.2">
      <c r="A5">
        <v>24381</v>
      </c>
      <c r="B5" t="s">
        <v>35</v>
      </c>
      <c r="C5" s="16" t="str">
        <f t="shared" si="0"/>
        <v>Single</v>
      </c>
      <c r="D5" t="s">
        <v>34</v>
      </c>
      <c r="E5" s="16" t="str">
        <f t="shared" si="1"/>
        <v>Male</v>
      </c>
      <c r="F5" s="1">
        <v>70000</v>
      </c>
      <c r="G5">
        <v>0</v>
      </c>
      <c r="H5" t="s">
        <v>13</v>
      </c>
      <c r="I5" t="s">
        <v>21</v>
      </c>
      <c r="J5" t="s">
        <v>15</v>
      </c>
      <c r="K5">
        <v>1</v>
      </c>
      <c r="L5" t="s">
        <v>23</v>
      </c>
      <c r="M5" t="s">
        <v>24</v>
      </c>
      <c r="N5">
        <v>41</v>
      </c>
      <c r="O5" t="s">
        <v>15</v>
      </c>
      <c r="Q5" s="8" t="s">
        <v>3</v>
      </c>
      <c r="R5" s="8"/>
      <c r="T5" s="8" t="s">
        <v>8</v>
      </c>
      <c r="U5" s="8"/>
    </row>
    <row r="6" spans="1:21" x14ac:dyDescent="0.2">
      <c r="A6">
        <v>25597</v>
      </c>
      <c r="B6" t="s">
        <v>35</v>
      </c>
      <c r="C6" s="16" t="str">
        <f t="shared" si="0"/>
        <v>Single</v>
      </c>
      <c r="D6" t="s">
        <v>34</v>
      </c>
      <c r="E6" s="16" t="str">
        <f t="shared" si="1"/>
        <v>Male</v>
      </c>
      <c r="F6" s="1">
        <v>30000</v>
      </c>
      <c r="G6">
        <v>0</v>
      </c>
      <c r="H6" t="s">
        <v>13</v>
      </c>
      <c r="I6" t="s">
        <v>20</v>
      </c>
      <c r="J6" t="s">
        <v>18</v>
      </c>
      <c r="K6">
        <v>0</v>
      </c>
      <c r="L6" t="s">
        <v>16</v>
      </c>
      <c r="M6" t="s">
        <v>17</v>
      </c>
      <c r="N6">
        <v>36</v>
      </c>
      <c r="O6" t="s">
        <v>15</v>
      </c>
    </row>
    <row r="7" spans="1:21" x14ac:dyDescent="0.2">
      <c r="A7">
        <v>13507</v>
      </c>
      <c r="B7" t="s">
        <v>34</v>
      </c>
      <c r="C7" s="16" t="str">
        <f t="shared" si="0"/>
        <v>Married</v>
      </c>
      <c r="D7" t="s">
        <v>33</v>
      </c>
      <c r="E7" s="16" t="str">
        <f t="shared" si="1"/>
        <v>Female</v>
      </c>
      <c r="F7" s="1">
        <v>10000</v>
      </c>
      <c r="G7">
        <v>2</v>
      </c>
      <c r="H7" t="s">
        <v>19</v>
      </c>
      <c r="I7" t="s">
        <v>25</v>
      </c>
      <c r="J7" t="s">
        <v>15</v>
      </c>
      <c r="K7">
        <v>0</v>
      </c>
      <c r="L7" t="s">
        <v>26</v>
      </c>
      <c r="M7" t="s">
        <v>17</v>
      </c>
      <c r="N7">
        <v>50</v>
      </c>
      <c r="O7" t="s">
        <v>18</v>
      </c>
      <c r="Q7" t="s">
        <v>37</v>
      </c>
      <c r="R7">
        <f>SUM(F2:F1001)/2</f>
        <v>28180000</v>
      </c>
      <c r="T7" t="s">
        <v>37</v>
      </c>
      <c r="U7">
        <v>56360</v>
      </c>
    </row>
    <row r="8" spans="1:21" x14ac:dyDescent="0.2">
      <c r="A8">
        <v>27974</v>
      </c>
      <c r="B8" t="s">
        <v>35</v>
      </c>
      <c r="C8" s="16" t="str">
        <f t="shared" si="0"/>
        <v>Single</v>
      </c>
      <c r="D8" t="s">
        <v>34</v>
      </c>
      <c r="E8" s="16" t="str">
        <f t="shared" si="1"/>
        <v>Male</v>
      </c>
      <c r="F8" s="1">
        <v>160000</v>
      </c>
      <c r="G8">
        <v>2</v>
      </c>
      <c r="H8" t="s">
        <v>27</v>
      </c>
      <c r="I8" t="s">
        <v>28</v>
      </c>
      <c r="J8" t="s">
        <v>15</v>
      </c>
      <c r="K8">
        <v>4</v>
      </c>
      <c r="L8" t="s">
        <v>16</v>
      </c>
      <c r="M8" t="s">
        <v>24</v>
      </c>
      <c r="N8">
        <v>33</v>
      </c>
      <c r="O8" t="s">
        <v>15</v>
      </c>
      <c r="Q8" t="s">
        <v>38</v>
      </c>
      <c r="R8">
        <v>983.01409792368543</v>
      </c>
      <c r="T8" t="s">
        <v>38</v>
      </c>
      <c r="U8">
        <v>983.01409792368543</v>
      </c>
    </row>
    <row r="9" spans="1:21" x14ac:dyDescent="0.2">
      <c r="A9">
        <v>19364</v>
      </c>
      <c r="B9" t="s">
        <v>34</v>
      </c>
      <c r="C9" s="16" t="str">
        <f t="shared" si="0"/>
        <v>Married</v>
      </c>
      <c r="D9" t="s">
        <v>34</v>
      </c>
      <c r="E9" s="16" t="str">
        <f t="shared" si="1"/>
        <v>Male</v>
      </c>
      <c r="F9" s="1">
        <v>40000</v>
      </c>
      <c r="G9">
        <v>1</v>
      </c>
      <c r="H9" t="s">
        <v>13</v>
      </c>
      <c r="I9" t="s">
        <v>14</v>
      </c>
      <c r="J9" t="s">
        <v>15</v>
      </c>
      <c r="K9">
        <v>0</v>
      </c>
      <c r="L9" t="s">
        <v>16</v>
      </c>
      <c r="M9" t="s">
        <v>17</v>
      </c>
      <c r="N9">
        <v>43</v>
      </c>
      <c r="O9" t="s">
        <v>15</v>
      </c>
      <c r="Q9" t="s">
        <v>39</v>
      </c>
      <c r="R9" s="1">
        <f>MEDIAN(F2:F1001)</f>
        <v>60000</v>
      </c>
      <c r="T9" t="s">
        <v>39</v>
      </c>
      <c r="U9">
        <f>MEDIAN(K2:K1001)</f>
        <v>1</v>
      </c>
    </row>
    <row r="10" spans="1:21" x14ac:dyDescent="0.2">
      <c r="A10">
        <v>22155</v>
      </c>
      <c r="B10" t="s">
        <v>34</v>
      </c>
      <c r="C10" s="16" t="str">
        <f t="shared" si="0"/>
        <v>Married</v>
      </c>
      <c r="D10" t="s">
        <v>34</v>
      </c>
      <c r="E10" s="16" t="str">
        <f t="shared" si="1"/>
        <v>Male</v>
      </c>
      <c r="F10" s="1">
        <v>20000</v>
      </c>
      <c r="G10">
        <v>2</v>
      </c>
      <c r="H10" t="s">
        <v>29</v>
      </c>
      <c r="I10" t="s">
        <v>20</v>
      </c>
      <c r="J10" t="s">
        <v>15</v>
      </c>
      <c r="K10">
        <v>2</v>
      </c>
      <c r="L10" t="s">
        <v>23</v>
      </c>
      <c r="M10" t="s">
        <v>24</v>
      </c>
      <c r="N10">
        <v>58</v>
      </c>
      <c r="O10" t="s">
        <v>18</v>
      </c>
      <c r="Q10" t="s">
        <v>40</v>
      </c>
      <c r="R10">
        <f>MODE(F2:F1001)</f>
        <v>60000</v>
      </c>
      <c r="T10" t="s">
        <v>40</v>
      </c>
      <c r="U10">
        <f>MODE(K2:K1001)</f>
        <v>2</v>
      </c>
    </row>
    <row r="11" spans="1:21" x14ac:dyDescent="0.2">
      <c r="A11">
        <v>19280</v>
      </c>
      <c r="B11" t="s">
        <v>34</v>
      </c>
      <c r="C11" s="16" t="str">
        <f t="shared" si="0"/>
        <v>Married</v>
      </c>
      <c r="D11" t="s">
        <v>34</v>
      </c>
      <c r="E11" s="16" t="str">
        <f t="shared" si="1"/>
        <v>Male</v>
      </c>
      <c r="F11" s="1">
        <v>120000</v>
      </c>
      <c r="G11">
        <v>2</v>
      </c>
      <c r="H11" t="s">
        <v>19</v>
      </c>
      <c r="I11" t="s">
        <v>25</v>
      </c>
      <c r="J11" t="s">
        <v>15</v>
      </c>
      <c r="K11">
        <v>1</v>
      </c>
      <c r="L11" t="s">
        <v>16</v>
      </c>
      <c r="M11" t="s">
        <v>17</v>
      </c>
      <c r="N11">
        <v>40</v>
      </c>
      <c r="O11" t="s">
        <v>15</v>
      </c>
      <c r="Q11" t="s">
        <v>41</v>
      </c>
      <c r="R11">
        <f>STDEV(F2:F1001)</f>
        <v>31085.635214946418</v>
      </c>
      <c r="T11" t="s">
        <v>41</v>
      </c>
      <c r="U11">
        <f>STDEV(K2:K1001)</f>
        <v>1.1251230607813092</v>
      </c>
    </row>
    <row r="12" spans="1:21" x14ac:dyDescent="0.2">
      <c r="A12">
        <v>22173</v>
      </c>
      <c r="B12" t="s">
        <v>34</v>
      </c>
      <c r="C12" s="16" t="str">
        <f t="shared" si="0"/>
        <v>Married</v>
      </c>
      <c r="D12" t="s">
        <v>33</v>
      </c>
      <c r="E12" s="16" t="str">
        <f t="shared" si="1"/>
        <v>Female</v>
      </c>
      <c r="F12" s="1">
        <v>30000</v>
      </c>
      <c r="G12">
        <v>3</v>
      </c>
      <c r="H12" t="s">
        <v>27</v>
      </c>
      <c r="I12" t="s">
        <v>14</v>
      </c>
      <c r="J12" t="s">
        <v>18</v>
      </c>
      <c r="K12">
        <v>2</v>
      </c>
      <c r="L12" t="s">
        <v>26</v>
      </c>
      <c r="M12" t="s">
        <v>24</v>
      </c>
      <c r="N12">
        <v>54</v>
      </c>
      <c r="O12" t="s">
        <v>15</v>
      </c>
      <c r="Q12" t="s">
        <v>42</v>
      </c>
      <c r="R12">
        <f>_xlfn.VAR.S(F2:F1001)</f>
        <v>966316716.71671677</v>
      </c>
      <c r="T12" t="s">
        <v>42</v>
      </c>
      <c r="U12">
        <f>_xlfn.VAR.S(K2:K1001)</f>
        <v>1.2659019019019018</v>
      </c>
    </row>
    <row r="13" spans="1:21" x14ac:dyDescent="0.2">
      <c r="A13">
        <v>12697</v>
      </c>
      <c r="B13" t="s">
        <v>35</v>
      </c>
      <c r="C13" s="16" t="str">
        <f t="shared" si="0"/>
        <v>Single</v>
      </c>
      <c r="D13" t="s">
        <v>33</v>
      </c>
      <c r="E13" s="16" t="str">
        <f t="shared" si="1"/>
        <v>Female</v>
      </c>
      <c r="F13" s="1">
        <v>90000</v>
      </c>
      <c r="G13">
        <v>0</v>
      </c>
      <c r="H13" t="s">
        <v>13</v>
      </c>
      <c r="I13" t="s">
        <v>21</v>
      </c>
      <c r="J13" t="s">
        <v>18</v>
      </c>
      <c r="K13">
        <v>4</v>
      </c>
      <c r="L13" t="s">
        <v>30</v>
      </c>
      <c r="M13" t="s">
        <v>24</v>
      </c>
      <c r="N13">
        <v>36</v>
      </c>
      <c r="O13" t="s">
        <v>18</v>
      </c>
      <c r="Q13" t="s">
        <v>43</v>
      </c>
      <c r="R13">
        <f>KURT(F2:F1001)</f>
        <v>0.4996489512798723</v>
      </c>
      <c r="T13" t="s">
        <v>43</v>
      </c>
      <c r="U13">
        <f>KURT(K2:K1001)</f>
        <v>-0.40850582789604495</v>
      </c>
    </row>
    <row r="14" spans="1:21" x14ac:dyDescent="0.2">
      <c r="A14">
        <v>11434</v>
      </c>
      <c r="B14" t="s">
        <v>34</v>
      </c>
      <c r="C14" s="16" t="str">
        <f t="shared" si="0"/>
        <v>Married</v>
      </c>
      <c r="D14" t="s">
        <v>34</v>
      </c>
      <c r="E14" s="16" t="str">
        <f t="shared" si="1"/>
        <v>Male</v>
      </c>
      <c r="F14" s="1">
        <v>170000</v>
      </c>
      <c r="G14">
        <v>5</v>
      </c>
      <c r="H14" t="s">
        <v>19</v>
      </c>
      <c r="I14" t="s">
        <v>21</v>
      </c>
      <c r="J14" t="s">
        <v>15</v>
      </c>
      <c r="K14">
        <v>0</v>
      </c>
      <c r="L14" t="s">
        <v>16</v>
      </c>
      <c r="M14" t="s">
        <v>17</v>
      </c>
      <c r="N14">
        <v>55</v>
      </c>
      <c r="O14" t="s">
        <v>18</v>
      </c>
      <c r="Q14" t="s">
        <v>44</v>
      </c>
      <c r="R14">
        <f>SKEW(F2:F1001)</f>
        <v>0.74614237665481975</v>
      </c>
      <c r="T14" t="s">
        <v>44</v>
      </c>
      <c r="U14">
        <f>SKEW(K2:K1001)</f>
        <v>0.42586687706862114</v>
      </c>
    </row>
    <row r="15" spans="1:21" x14ac:dyDescent="0.2">
      <c r="A15">
        <v>25323</v>
      </c>
      <c r="B15" t="s">
        <v>34</v>
      </c>
      <c r="C15" s="16" t="str">
        <f t="shared" si="0"/>
        <v>Married</v>
      </c>
      <c r="D15" t="s">
        <v>34</v>
      </c>
      <c r="E15" s="16" t="str">
        <f t="shared" si="1"/>
        <v>Male</v>
      </c>
      <c r="F15" s="1">
        <v>40000</v>
      </c>
      <c r="G15">
        <v>2</v>
      </c>
      <c r="H15" t="s">
        <v>19</v>
      </c>
      <c r="I15" t="s">
        <v>20</v>
      </c>
      <c r="J15" t="s">
        <v>15</v>
      </c>
      <c r="K15">
        <v>1</v>
      </c>
      <c r="L15" t="s">
        <v>26</v>
      </c>
      <c r="M15" t="s">
        <v>17</v>
      </c>
      <c r="N15">
        <v>35</v>
      </c>
      <c r="O15" t="s">
        <v>15</v>
      </c>
      <c r="Q15" t="s">
        <v>45</v>
      </c>
      <c r="R15" s="4">
        <f>R17-R16</f>
        <v>160000</v>
      </c>
      <c r="T15" t="s">
        <v>45</v>
      </c>
      <c r="U15">
        <f>U17-U16</f>
        <v>4</v>
      </c>
    </row>
    <row r="16" spans="1:21" x14ac:dyDescent="0.2">
      <c r="A16">
        <v>23542</v>
      </c>
      <c r="B16" t="s">
        <v>35</v>
      </c>
      <c r="C16" s="16" t="str">
        <f t="shared" si="0"/>
        <v>Single</v>
      </c>
      <c r="D16" t="s">
        <v>34</v>
      </c>
      <c r="E16" s="16" t="str">
        <f t="shared" si="1"/>
        <v>Male</v>
      </c>
      <c r="F16" s="1">
        <v>60000</v>
      </c>
      <c r="G16">
        <v>1</v>
      </c>
      <c r="H16" t="s">
        <v>19</v>
      </c>
      <c r="I16" t="s">
        <v>14</v>
      </c>
      <c r="J16" t="s">
        <v>18</v>
      </c>
      <c r="K16">
        <v>1</v>
      </c>
      <c r="L16" t="s">
        <v>16</v>
      </c>
      <c r="M16" t="s">
        <v>24</v>
      </c>
      <c r="N16">
        <v>45</v>
      </c>
      <c r="O16" t="s">
        <v>15</v>
      </c>
      <c r="Q16" t="s">
        <v>46</v>
      </c>
      <c r="R16" s="1">
        <f>MIN(F2:F1001)</f>
        <v>10000</v>
      </c>
      <c r="T16" t="s">
        <v>46</v>
      </c>
      <c r="U16">
        <f>MIN(K2:K1001)</f>
        <v>0</v>
      </c>
    </row>
    <row r="17" spans="1:21" x14ac:dyDescent="0.2">
      <c r="A17">
        <v>20870</v>
      </c>
      <c r="B17" t="s">
        <v>35</v>
      </c>
      <c r="C17" s="16" t="str">
        <f t="shared" si="0"/>
        <v>Single</v>
      </c>
      <c r="D17" t="s">
        <v>33</v>
      </c>
      <c r="E17" s="16" t="str">
        <f t="shared" si="1"/>
        <v>Female</v>
      </c>
      <c r="F17" s="1">
        <v>10000</v>
      </c>
      <c r="G17">
        <v>2</v>
      </c>
      <c r="H17" t="s">
        <v>27</v>
      </c>
      <c r="I17" t="s">
        <v>25</v>
      </c>
      <c r="J17" t="s">
        <v>15</v>
      </c>
      <c r="K17">
        <v>1</v>
      </c>
      <c r="L17" t="s">
        <v>16</v>
      </c>
      <c r="M17" t="s">
        <v>17</v>
      </c>
      <c r="N17">
        <v>38</v>
      </c>
      <c r="O17" t="s">
        <v>15</v>
      </c>
      <c r="Q17" t="s">
        <v>47</v>
      </c>
      <c r="R17" s="1">
        <f>MAX(F2:F1001)</f>
        <v>170000</v>
      </c>
      <c r="T17" t="s">
        <v>47</v>
      </c>
      <c r="U17">
        <f>MAX(K2:K1001)</f>
        <v>4</v>
      </c>
    </row>
    <row r="18" spans="1:21" x14ac:dyDescent="0.2">
      <c r="A18">
        <v>23316</v>
      </c>
      <c r="B18" t="s">
        <v>35</v>
      </c>
      <c r="C18" s="16" t="str">
        <f t="shared" si="0"/>
        <v>Single</v>
      </c>
      <c r="D18" t="s">
        <v>34</v>
      </c>
      <c r="E18" s="16" t="str">
        <f t="shared" si="1"/>
        <v>Male</v>
      </c>
      <c r="F18" s="1">
        <v>30000</v>
      </c>
      <c r="G18">
        <v>3</v>
      </c>
      <c r="H18" t="s">
        <v>19</v>
      </c>
      <c r="I18" t="s">
        <v>20</v>
      </c>
      <c r="J18" t="s">
        <v>18</v>
      </c>
      <c r="K18">
        <v>2</v>
      </c>
      <c r="L18" t="s">
        <v>26</v>
      </c>
      <c r="M18" t="s">
        <v>24</v>
      </c>
      <c r="N18">
        <v>59</v>
      </c>
      <c r="O18" t="s">
        <v>15</v>
      </c>
      <c r="Q18" t="s">
        <v>48</v>
      </c>
      <c r="R18" s="1">
        <f>SUM(F2:F1001)</f>
        <v>56360000</v>
      </c>
      <c r="T18" t="s">
        <v>48</v>
      </c>
      <c r="U18">
        <f>SUM(K2:K1001)</f>
        <v>1442</v>
      </c>
    </row>
    <row r="19" spans="1:21" ht="16" thickBot="1" x14ac:dyDescent="0.25">
      <c r="A19">
        <v>12610</v>
      </c>
      <c r="B19" t="s">
        <v>34</v>
      </c>
      <c r="C19" s="16" t="str">
        <f t="shared" si="0"/>
        <v>Married</v>
      </c>
      <c r="D19" t="s">
        <v>33</v>
      </c>
      <c r="E19" s="16" t="str">
        <f t="shared" si="1"/>
        <v>Female</v>
      </c>
      <c r="F19" s="1">
        <v>30000</v>
      </c>
      <c r="G19">
        <v>1</v>
      </c>
      <c r="H19" t="s">
        <v>13</v>
      </c>
      <c r="I19" t="s">
        <v>20</v>
      </c>
      <c r="J19" t="s">
        <v>15</v>
      </c>
      <c r="K19">
        <v>0</v>
      </c>
      <c r="L19" t="s">
        <v>16</v>
      </c>
      <c r="M19" t="s">
        <v>17</v>
      </c>
      <c r="N19">
        <v>47</v>
      </c>
      <c r="O19" t="s">
        <v>18</v>
      </c>
      <c r="Q19" s="3" t="s">
        <v>49</v>
      </c>
      <c r="R19" s="3">
        <f>COUNT(F2:F1001)</f>
        <v>1000</v>
      </c>
      <c r="T19" s="3" t="s">
        <v>49</v>
      </c>
      <c r="U19" s="3">
        <f>COUNT(K2:K1001)</f>
        <v>1000</v>
      </c>
    </row>
    <row r="20" spans="1:21" x14ac:dyDescent="0.2">
      <c r="A20">
        <v>27183</v>
      </c>
      <c r="B20" t="s">
        <v>35</v>
      </c>
      <c r="C20" s="16" t="str">
        <f t="shared" si="0"/>
        <v>Single</v>
      </c>
      <c r="D20" t="s">
        <v>34</v>
      </c>
      <c r="E20" s="16" t="str">
        <f t="shared" si="1"/>
        <v>Male</v>
      </c>
      <c r="F20" s="1">
        <v>40000</v>
      </c>
      <c r="G20">
        <v>2</v>
      </c>
      <c r="H20" t="s">
        <v>19</v>
      </c>
      <c r="I20" t="s">
        <v>20</v>
      </c>
      <c r="J20" t="s">
        <v>15</v>
      </c>
      <c r="K20">
        <v>1</v>
      </c>
      <c r="L20" t="s">
        <v>26</v>
      </c>
      <c r="M20" t="s">
        <v>17</v>
      </c>
      <c r="N20">
        <v>35</v>
      </c>
      <c r="O20" t="s">
        <v>15</v>
      </c>
      <c r="R20">
        <v>1</v>
      </c>
      <c r="U20">
        <v>1</v>
      </c>
    </row>
    <row r="21" spans="1:21" x14ac:dyDescent="0.2">
      <c r="A21">
        <v>25940</v>
      </c>
      <c r="B21" t="s">
        <v>35</v>
      </c>
      <c r="C21" s="16" t="str">
        <f t="shared" si="0"/>
        <v>Single</v>
      </c>
      <c r="D21" t="s">
        <v>34</v>
      </c>
      <c r="E21" s="16" t="str">
        <f t="shared" si="1"/>
        <v>Male</v>
      </c>
      <c r="F21" s="1">
        <v>20000</v>
      </c>
      <c r="G21">
        <v>2</v>
      </c>
      <c r="H21" t="s">
        <v>29</v>
      </c>
      <c r="I21" t="s">
        <v>20</v>
      </c>
      <c r="J21" t="s">
        <v>15</v>
      </c>
      <c r="K21">
        <v>2</v>
      </c>
      <c r="L21" t="s">
        <v>23</v>
      </c>
      <c r="M21" t="s">
        <v>24</v>
      </c>
      <c r="N21">
        <v>55</v>
      </c>
      <c r="O21" t="s">
        <v>15</v>
      </c>
    </row>
    <row r="22" spans="1:21" x14ac:dyDescent="0.2">
      <c r="A22">
        <v>25598</v>
      </c>
      <c r="B22" t="s">
        <v>34</v>
      </c>
      <c r="C22" s="16" t="str">
        <f t="shared" si="0"/>
        <v>Married</v>
      </c>
      <c r="D22" t="s">
        <v>33</v>
      </c>
      <c r="E22" s="16" t="str">
        <f t="shared" si="1"/>
        <v>Female</v>
      </c>
      <c r="F22" s="1">
        <v>40000</v>
      </c>
      <c r="G22">
        <v>0</v>
      </c>
      <c r="H22" t="s">
        <v>31</v>
      </c>
      <c r="I22" t="s">
        <v>20</v>
      </c>
      <c r="J22" t="s">
        <v>15</v>
      </c>
      <c r="K22">
        <v>0</v>
      </c>
      <c r="L22" t="s">
        <v>16</v>
      </c>
      <c r="M22" t="s">
        <v>17</v>
      </c>
      <c r="N22">
        <v>36</v>
      </c>
      <c r="O22" t="s">
        <v>15</v>
      </c>
      <c r="Q22" s="14" t="s">
        <v>55</v>
      </c>
      <c r="R22" s="14"/>
      <c r="T22" s="14" t="s">
        <v>74</v>
      </c>
      <c r="U22" s="14"/>
    </row>
    <row r="23" spans="1:21" x14ac:dyDescent="0.2">
      <c r="A23">
        <v>21564</v>
      </c>
      <c r="B23" t="s">
        <v>35</v>
      </c>
      <c r="C23" s="16" t="str">
        <f t="shared" si="0"/>
        <v>Single</v>
      </c>
      <c r="D23" t="s">
        <v>33</v>
      </c>
      <c r="E23" s="16" t="str">
        <f t="shared" si="1"/>
        <v>Female</v>
      </c>
      <c r="F23" s="1">
        <v>80000</v>
      </c>
      <c r="G23">
        <v>0</v>
      </c>
      <c r="H23" t="s">
        <v>13</v>
      </c>
      <c r="I23" t="s">
        <v>21</v>
      </c>
      <c r="J23" t="s">
        <v>15</v>
      </c>
      <c r="K23">
        <v>4</v>
      </c>
      <c r="L23" t="s">
        <v>30</v>
      </c>
      <c r="M23" t="s">
        <v>24</v>
      </c>
      <c r="N23">
        <v>35</v>
      </c>
      <c r="O23" t="s">
        <v>18</v>
      </c>
      <c r="Q23" t="s">
        <v>54</v>
      </c>
      <c r="R23">
        <f>COUNTIF(C:C,"Single")</f>
        <v>462</v>
      </c>
      <c r="T23" t="s">
        <v>71</v>
      </c>
      <c r="U23">
        <f>COUNTA(O2:O1001)</f>
        <v>1000</v>
      </c>
    </row>
    <row r="24" spans="1:21" x14ac:dyDescent="0.2">
      <c r="A24">
        <v>19193</v>
      </c>
      <c r="B24" t="s">
        <v>35</v>
      </c>
      <c r="C24" s="16" t="str">
        <f t="shared" si="0"/>
        <v>Single</v>
      </c>
      <c r="D24" t="s">
        <v>34</v>
      </c>
      <c r="E24" s="16" t="str">
        <f t="shared" si="1"/>
        <v>Male</v>
      </c>
      <c r="F24" s="1">
        <v>40000</v>
      </c>
      <c r="G24">
        <v>2</v>
      </c>
      <c r="H24" t="s">
        <v>19</v>
      </c>
      <c r="I24" t="s">
        <v>20</v>
      </c>
      <c r="J24" t="s">
        <v>15</v>
      </c>
      <c r="K24">
        <v>0</v>
      </c>
      <c r="L24" t="s">
        <v>26</v>
      </c>
      <c r="M24" t="s">
        <v>17</v>
      </c>
      <c r="N24">
        <v>35</v>
      </c>
      <c r="O24" t="s">
        <v>15</v>
      </c>
      <c r="Q24" t="s">
        <v>36</v>
      </c>
      <c r="R24">
        <f>COUNTIF(C:C,"Married")</f>
        <v>538</v>
      </c>
      <c r="T24" t="s">
        <v>72</v>
      </c>
      <c r="U24">
        <f>COUNTIFS(O2:O1001,"yes")</f>
        <v>481</v>
      </c>
    </row>
    <row r="25" spans="1:21" x14ac:dyDescent="0.2">
      <c r="A25">
        <v>26412</v>
      </c>
      <c r="B25" t="s">
        <v>34</v>
      </c>
      <c r="C25" s="16" t="str">
        <f t="shared" si="0"/>
        <v>Married</v>
      </c>
      <c r="D25" t="s">
        <v>33</v>
      </c>
      <c r="E25" s="16" t="str">
        <f t="shared" si="1"/>
        <v>Female</v>
      </c>
      <c r="F25" s="1">
        <v>80000</v>
      </c>
      <c r="G25">
        <v>5</v>
      </c>
      <c r="H25" t="s">
        <v>27</v>
      </c>
      <c r="I25" t="s">
        <v>28</v>
      </c>
      <c r="J25" t="s">
        <v>18</v>
      </c>
      <c r="K25">
        <v>3</v>
      </c>
      <c r="L25" t="s">
        <v>23</v>
      </c>
      <c r="M25" t="s">
        <v>17</v>
      </c>
      <c r="N25">
        <v>56</v>
      </c>
      <c r="O25" t="s">
        <v>18</v>
      </c>
      <c r="Q25" t="s">
        <v>50</v>
      </c>
      <c r="R25">
        <f>COUNTIF(E:E,"Female")</f>
        <v>489</v>
      </c>
      <c r="T25" t="s">
        <v>73</v>
      </c>
      <c r="U25" s="7">
        <f>_xlfn.PERCENTOF(U24,U23)</f>
        <v>0.48099999999999998</v>
      </c>
    </row>
    <row r="26" spans="1:21" x14ac:dyDescent="0.2">
      <c r="A26">
        <v>27184</v>
      </c>
      <c r="B26" t="s">
        <v>35</v>
      </c>
      <c r="C26" s="16" t="str">
        <f t="shared" si="0"/>
        <v>Single</v>
      </c>
      <c r="D26" t="s">
        <v>34</v>
      </c>
      <c r="E26" s="16" t="str">
        <f t="shared" si="1"/>
        <v>Male</v>
      </c>
      <c r="F26" s="1">
        <v>40000</v>
      </c>
      <c r="G26">
        <v>2</v>
      </c>
      <c r="H26" t="s">
        <v>19</v>
      </c>
      <c r="I26" t="s">
        <v>20</v>
      </c>
      <c r="J26" t="s">
        <v>18</v>
      </c>
      <c r="K26">
        <v>1</v>
      </c>
      <c r="L26" t="s">
        <v>16</v>
      </c>
      <c r="M26" t="s">
        <v>17</v>
      </c>
      <c r="N26">
        <v>34</v>
      </c>
      <c r="O26" t="s">
        <v>18</v>
      </c>
      <c r="Q26" t="s">
        <v>51</v>
      </c>
      <c r="R26">
        <f>COUNTIF(E:E,"Male")</f>
        <v>511</v>
      </c>
    </row>
    <row r="27" spans="1:21" x14ac:dyDescent="0.2">
      <c r="A27">
        <v>12590</v>
      </c>
      <c r="B27" t="s">
        <v>35</v>
      </c>
      <c r="C27" s="16" t="str">
        <f t="shared" si="0"/>
        <v>Single</v>
      </c>
      <c r="D27" t="s">
        <v>34</v>
      </c>
      <c r="E27" s="16" t="str">
        <f t="shared" si="1"/>
        <v>Male</v>
      </c>
      <c r="F27" s="1">
        <v>30000</v>
      </c>
      <c r="G27">
        <v>1</v>
      </c>
      <c r="H27" t="s">
        <v>13</v>
      </c>
      <c r="I27" t="s">
        <v>20</v>
      </c>
      <c r="J27" t="s">
        <v>15</v>
      </c>
      <c r="K27">
        <v>0</v>
      </c>
      <c r="L27" t="s">
        <v>16</v>
      </c>
      <c r="M27" t="s">
        <v>17</v>
      </c>
      <c r="N27">
        <v>63</v>
      </c>
      <c r="O27" t="s">
        <v>18</v>
      </c>
      <c r="Q27" t="s">
        <v>13</v>
      </c>
      <c r="R27">
        <f>COUNTIF(H:H,"Bachelors")</f>
        <v>306</v>
      </c>
    </row>
    <row r="28" spans="1:21" x14ac:dyDescent="0.2">
      <c r="A28">
        <v>17841</v>
      </c>
      <c r="B28" t="s">
        <v>35</v>
      </c>
      <c r="C28" s="16" t="str">
        <f t="shared" si="0"/>
        <v>Single</v>
      </c>
      <c r="D28" t="s">
        <v>34</v>
      </c>
      <c r="E28" s="16" t="str">
        <f t="shared" si="1"/>
        <v>Male</v>
      </c>
      <c r="F28" s="1">
        <v>30000</v>
      </c>
      <c r="G28">
        <v>0</v>
      </c>
      <c r="H28" t="s">
        <v>19</v>
      </c>
      <c r="I28" t="s">
        <v>20</v>
      </c>
      <c r="J28" t="s">
        <v>18</v>
      </c>
      <c r="K28">
        <v>1</v>
      </c>
      <c r="L28" t="s">
        <v>16</v>
      </c>
      <c r="M28" t="s">
        <v>17</v>
      </c>
      <c r="N28">
        <v>29</v>
      </c>
      <c r="O28" t="s">
        <v>15</v>
      </c>
      <c r="Q28" t="s">
        <v>19</v>
      </c>
      <c r="R28">
        <f>COUNTIF(H:H,"Partial College")</f>
        <v>265</v>
      </c>
    </row>
    <row r="29" spans="1:21" x14ac:dyDescent="0.2">
      <c r="A29">
        <v>18283</v>
      </c>
      <c r="B29" t="s">
        <v>35</v>
      </c>
      <c r="C29" s="16" t="str">
        <f t="shared" si="0"/>
        <v>Single</v>
      </c>
      <c r="D29" t="s">
        <v>33</v>
      </c>
      <c r="E29" s="16" t="str">
        <f t="shared" si="1"/>
        <v>Female</v>
      </c>
      <c r="F29" s="1">
        <v>100000</v>
      </c>
      <c r="G29">
        <v>0</v>
      </c>
      <c r="H29" t="s">
        <v>13</v>
      </c>
      <c r="I29" t="s">
        <v>21</v>
      </c>
      <c r="J29" t="s">
        <v>18</v>
      </c>
      <c r="K29">
        <v>1</v>
      </c>
      <c r="L29" t="s">
        <v>23</v>
      </c>
      <c r="M29" t="s">
        <v>24</v>
      </c>
      <c r="N29">
        <v>40</v>
      </c>
      <c r="O29" t="s">
        <v>18</v>
      </c>
      <c r="Q29" t="s">
        <v>27</v>
      </c>
      <c r="R29">
        <f>COUNTIF(H:H,"High School")</f>
        <v>179</v>
      </c>
    </row>
    <row r="30" spans="1:21" x14ac:dyDescent="0.2">
      <c r="A30">
        <v>18299</v>
      </c>
      <c r="B30" t="s">
        <v>34</v>
      </c>
      <c r="C30" s="16" t="str">
        <f t="shared" si="0"/>
        <v>Married</v>
      </c>
      <c r="D30" t="s">
        <v>34</v>
      </c>
      <c r="E30" s="16" t="str">
        <f t="shared" si="1"/>
        <v>Male</v>
      </c>
      <c r="F30" s="1">
        <v>70000</v>
      </c>
      <c r="G30">
        <v>5</v>
      </c>
      <c r="H30" t="s">
        <v>19</v>
      </c>
      <c r="I30" t="s">
        <v>14</v>
      </c>
      <c r="J30" t="s">
        <v>15</v>
      </c>
      <c r="K30">
        <v>2</v>
      </c>
      <c r="L30" t="s">
        <v>23</v>
      </c>
      <c r="M30" t="s">
        <v>24</v>
      </c>
      <c r="N30">
        <v>44</v>
      </c>
      <c r="O30" t="s">
        <v>18</v>
      </c>
      <c r="Q30" t="s">
        <v>29</v>
      </c>
      <c r="R30">
        <f>COUNTIF(H:H,"Partial High School")</f>
        <v>76</v>
      </c>
    </row>
    <row r="31" spans="1:21" x14ac:dyDescent="0.2">
      <c r="A31">
        <v>16466</v>
      </c>
      <c r="B31" t="s">
        <v>35</v>
      </c>
      <c r="C31" s="16" t="str">
        <f t="shared" si="0"/>
        <v>Single</v>
      </c>
      <c r="D31" t="s">
        <v>33</v>
      </c>
      <c r="E31" s="16" t="str">
        <f t="shared" si="1"/>
        <v>Female</v>
      </c>
      <c r="F31" s="1">
        <v>20000</v>
      </c>
      <c r="G31">
        <v>0</v>
      </c>
      <c r="H31" t="s">
        <v>29</v>
      </c>
      <c r="I31" t="s">
        <v>25</v>
      </c>
      <c r="J31" t="s">
        <v>18</v>
      </c>
      <c r="K31">
        <v>2</v>
      </c>
      <c r="L31" t="s">
        <v>16</v>
      </c>
      <c r="M31" t="s">
        <v>17</v>
      </c>
      <c r="N31">
        <v>32</v>
      </c>
      <c r="O31" t="s">
        <v>15</v>
      </c>
      <c r="Q31" t="s">
        <v>31</v>
      </c>
      <c r="R31">
        <f>COUNTIF(H:H,"Graduate Degree")</f>
        <v>174</v>
      </c>
    </row>
    <row r="32" spans="1:21" x14ac:dyDescent="0.2">
      <c r="A32">
        <v>19273</v>
      </c>
      <c r="B32" t="s">
        <v>34</v>
      </c>
      <c r="C32" s="16" t="str">
        <f t="shared" si="0"/>
        <v>Married</v>
      </c>
      <c r="D32" t="s">
        <v>33</v>
      </c>
      <c r="E32" s="16" t="str">
        <f t="shared" si="1"/>
        <v>Female</v>
      </c>
      <c r="F32" s="1">
        <v>20000</v>
      </c>
      <c r="G32">
        <v>2</v>
      </c>
      <c r="H32" t="s">
        <v>19</v>
      </c>
      <c r="I32" t="s">
        <v>25</v>
      </c>
      <c r="J32" t="s">
        <v>15</v>
      </c>
      <c r="K32">
        <v>0</v>
      </c>
      <c r="L32" t="s">
        <v>16</v>
      </c>
      <c r="M32" t="s">
        <v>17</v>
      </c>
      <c r="N32">
        <v>63</v>
      </c>
      <c r="O32" t="s">
        <v>18</v>
      </c>
      <c r="Q32" t="s">
        <v>14</v>
      </c>
      <c r="R32">
        <f>COUNTIF(I:I,"Skilled Manual")</f>
        <v>255</v>
      </c>
    </row>
    <row r="33" spans="1:18" x14ac:dyDescent="0.2">
      <c r="A33">
        <v>22400</v>
      </c>
      <c r="B33" t="s">
        <v>34</v>
      </c>
      <c r="C33" s="16" t="str">
        <f t="shared" si="0"/>
        <v>Married</v>
      </c>
      <c r="D33" t="s">
        <v>34</v>
      </c>
      <c r="E33" s="16" t="str">
        <f t="shared" si="1"/>
        <v>Male</v>
      </c>
      <c r="F33" s="1">
        <v>10000</v>
      </c>
      <c r="G33">
        <v>0</v>
      </c>
      <c r="H33" t="s">
        <v>19</v>
      </c>
      <c r="I33" t="s">
        <v>25</v>
      </c>
      <c r="J33" t="s">
        <v>18</v>
      </c>
      <c r="K33">
        <v>1</v>
      </c>
      <c r="L33" t="s">
        <v>16</v>
      </c>
      <c r="M33" t="s">
        <v>24</v>
      </c>
      <c r="N33">
        <v>26</v>
      </c>
      <c r="O33" t="s">
        <v>15</v>
      </c>
      <c r="Q33" t="s">
        <v>20</v>
      </c>
      <c r="R33">
        <f>COUNTIF(I:I,"clerical")</f>
        <v>177</v>
      </c>
    </row>
    <row r="34" spans="1:18" x14ac:dyDescent="0.2">
      <c r="A34">
        <v>20942</v>
      </c>
      <c r="B34" t="s">
        <v>35</v>
      </c>
      <c r="C34" s="16" t="str">
        <f t="shared" si="0"/>
        <v>Single</v>
      </c>
      <c r="D34" t="s">
        <v>33</v>
      </c>
      <c r="E34" s="16" t="str">
        <f t="shared" si="1"/>
        <v>Female</v>
      </c>
      <c r="F34" s="1">
        <v>20000</v>
      </c>
      <c r="G34">
        <v>0</v>
      </c>
      <c r="H34" t="s">
        <v>27</v>
      </c>
      <c r="I34" t="s">
        <v>25</v>
      </c>
      <c r="J34" t="s">
        <v>18</v>
      </c>
      <c r="K34">
        <v>1</v>
      </c>
      <c r="L34" t="s">
        <v>23</v>
      </c>
      <c r="M34" t="s">
        <v>17</v>
      </c>
      <c r="N34">
        <v>31</v>
      </c>
      <c r="O34" t="s">
        <v>18</v>
      </c>
      <c r="Q34" t="s">
        <v>21</v>
      </c>
      <c r="R34">
        <f>COUNTIF(I:I,"professional")</f>
        <v>276</v>
      </c>
    </row>
    <row r="35" spans="1:18" x14ac:dyDescent="0.2">
      <c r="A35">
        <v>18484</v>
      </c>
      <c r="B35" t="s">
        <v>35</v>
      </c>
      <c r="C35" s="16" t="str">
        <f t="shared" si="0"/>
        <v>Single</v>
      </c>
      <c r="D35" t="s">
        <v>34</v>
      </c>
      <c r="E35" s="16" t="str">
        <f t="shared" si="1"/>
        <v>Male</v>
      </c>
      <c r="F35" s="1">
        <v>80000</v>
      </c>
      <c r="G35">
        <v>2</v>
      </c>
      <c r="H35" t="s">
        <v>27</v>
      </c>
      <c r="I35" t="s">
        <v>14</v>
      </c>
      <c r="J35" t="s">
        <v>18</v>
      </c>
      <c r="K35">
        <v>2</v>
      </c>
      <c r="L35" t="s">
        <v>26</v>
      </c>
      <c r="M35" t="s">
        <v>24</v>
      </c>
      <c r="N35">
        <v>50</v>
      </c>
      <c r="O35" t="s">
        <v>15</v>
      </c>
      <c r="Q35" t="s">
        <v>25</v>
      </c>
      <c r="R35">
        <f>COUNTIF(I:I,"manual")</f>
        <v>119</v>
      </c>
    </row>
    <row r="36" spans="1:18" x14ac:dyDescent="0.2">
      <c r="A36">
        <v>12291</v>
      </c>
      <c r="B36" t="s">
        <v>35</v>
      </c>
      <c r="C36" s="16" t="str">
        <f t="shared" si="0"/>
        <v>Single</v>
      </c>
      <c r="D36" t="s">
        <v>34</v>
      </c>
      <c r="E36" s="16" t="str">
        <f t="shared" si="1"/>
        <v>Male</v>
      </c>
      <c r="F36" s="1">
        <v>90000</v>
      </c>
      <c r="G36">
        <v>5</v>
      </c>
      <c r="H36" t="s">
        <v>19</v>
      </c>
      <c r="I36" t="s">
        <v>21</v>
      </c>
      <c r="J36" t="s">
        <v>18</v>
      </c>
      <c r="K36">
        <v>2</v>
      </c>
      <c r="L36" t="s">
        <v>22</v>
      </c>
      <c r="M36" t="s">
        <v>17</v>
      </c>
      <c r="N36">
        <v>62</v>
      </c>
      <c r="O36" t="s">
        <v>15</v>
      </c>
      <c r="Q36" t="s">
        <v>28</v>
      </c>
      <c r="R36">
        <f>COUNTIF(I:I,"management")</f>
        <v>173</v>
      </c>
    </row>
    <row r="37" spans="1:18" x14ac:dyDescent="0.2">
      <c r="A37">
        <v>28380</v>
      </c>
      <c r="B37" t="s">
        <v>35</v>
      </c>
      <c r="C37" s="16" t="str">
        <f t="shared" si="0"/>
        <v>Single</v>
      </c>
      <c r="D37" t="s">
        <v>33</v>
      </c>
      <c r="E37" s="16" t="str">
        <f t="shared" si="1"/>
        <v>Female</v>
      </c>
      <c r="F37" s="1">
        <v>10000</v>
      </c>
      <c r="G37">
        <v>5</v>
      </c>
      <c r="H37" t="s">
        <v>29</v>
      </c>
      <c r="I37" t="s">
        <v>25</v>
      </c>
      <c r="J37" t="s">
        <v>18</v>
      </c>
      <c r="K37">
        <v>2</v>
      </c>
      <c r="L37" t="s">
        <v>16</v>
      </c>
      <c r="M37" t="s">
        <v>17</v>
      </c>
      <c r="N37">
        <v>41</v>
      </c>
      <c r="O37" t="s">
        <v>18</v>
      </c>
    </row>
    <row r="38" spans="1:18" x14ac:dyDescent="0.2">
      <c r="A38">
        <v>17891</v>
      </c>
      <c r="B38" t="s">
        <v>34</v>
      </c>
      <c r="C38" s="16" t="str">
        <f t="shared" si="0"/>
        <v>Married</v>
      </c>
      <c r="D38" t="s">
        <v>33</v>
      </c>
      <c r="E38" s="16" t="str">
        <f t="shared" si="1"/>
        <v>Female</v>
      </c>
      <c r="F38" s="1">
        <v>10000</v>
      </c>
      <c r="G38">
        <v>2</v>
      </c>
      <c r="H38" t="s">
        <v>19</v>
      </c>
      <c r="I38" t="s">
        <v>25</v>
      </c>
      <c r="J38" t="s">
        <v>15</v>
      </c>
      <c r="K38">
        <v>1</v>
      </c>
      <c r="L38" t="s">
        <v>16</v>
      </c>
      <c r="M38" t="s">
        <v>17</v>
      </c>
      <c r="N38">
        <v>50</v>
      </c>
      <c r="O38" t="s">
        <v>15</v>
      </c>
    </row>
    <row r="39" spans="1:18" x14ac:dyDescent="0.2">
      <c r="A39">
        <v>27832</v>
      </c>
      <c r="B39" t="s">
        <v>35</v>
      </c>
      <c r="C39" s="16" t="str">
        <f t="shared" si="0"/>
        <v>Single</v>
      </c>
      <c r="D39" t="s">
        <v>33</v>
      </c>
      <c r="E39" s="16" t="str">
        <f t="shared" si="1"/>
        <v>Female</v>
      </c>
      <c r="F39" s="1">
        <v>30000</v>
      </c>
      <c r="G39">
        <v>0</v>
      </c>
      <c r="H39" t="s">
        <v>19</v>
      </c>
      <c r="I39" t="s">
        <v>20</v>
      </c>
      <c r="J39" t="s">
        <v>18</v>
      </c>
      <c r="K39">
        <v>1</v>
      </c>
      <c r="L39" t="s">
        <v>22</v>
      </c>
      <c r="M39" t="s">
        <v>17</v>
      </c>
      <c r="N39">
        <v>30</v>
      </c>
      <c r="O39" t="s">
        <v>18</v>
      </c>
    </row>
    <row r="40" spans="1:18" x14ac:dyDescent="0.2">
      <c r="A40">
        <v>26863</v>
      </c>
      <c r="B40" t="s">
        <v>35</v>
      </c>
      <c r="C40" s="16" t="str">
        <f t="shared" si="0"/>
        <v>Single</v>
      </c>
      <c r="D40" t="s">
        <v>34</v>
      </c>
      <c r="E40" s="16" t="str">
        <f t="shared" si="1"/>
        <v>Male</v>
      </c>
      <c r="F40" s="1">
        <v>20000</v>
      </c>
      <c r="G40">
        <v>0</v>
      </c>
      <c r="H40" t="s">
        <v>27</v>
      </c>
      <c r="I40" t="s">
        <v>25</v>
      </c>
      <c r="J40" t="s">
        <v>18</v>
      </c>
      <c r="K40">
        <v>1</v>
      </c>
      <c r="L40" t="s">
        <v>22</v>
      </c>
      <c r="M40" t="s">
        <v>17</v>
      </c>
      <c r="N40">
        <v>28</v>
      </c>
      <c r="O40" t="s">
        <v>18</v>
      </c>
    </row>
    <row r="41" spans="1:18" x14ac:dyDescent="0.2">
      <c r="A41">
        <v>16259</v>
      </c>
      <c r="B41" t="s">
        <v>35</v>
      </c>
      <c r="C41" s="16" t="str">
        <f t="shared" si="0"/>
        <v>Single</v>
      </c>
      <c r="D41" t="s">
        <v>33</v>
      </c>
      <c r="E41" s="16" t="str">
        <f t="shared" si="1"/>
        <v>Female</v>
      </c>
      <c r="F41" s="1">
        <v>10000</v>
      </c>
      <c r="G41">
        <v>4</v>
      </c>
      <c r="H41" t="s">
        <v>29</v>
      </c>
      <c r="I41" t="s">
        <v>25</v>
      </c>
      <c r="J41" t="s">
        <v>15</v>
      </c>
      <c r="K41">
        <v>2</v>
      </c>
      <c r="L41" t="s">
        <v>16</v>
      </c>
      <c r="M41" t="s">
        <v>17</v>
      </c>
      <c r="N41">
        <v>40</v>
      </c>
      <c r="O41" t="s">
        <v>15</v>
      </c>
    </row>
    <row r="42" spans="1:18" x14ac:dyDescent="0.2">
      <c r="A42">
        <v>27803</v>
      </c>
      <c r="B42" t="s">
        <v>35</v>
      </c>
      <c r="C42" s="16" t="str">
        <f t="shared" si="0"/>
        <v>Single</v>
      </c>
      <c r="D42" t="s">
        <v>33</v>
      </c>
      <c r="E42" s="16" t="str">
        <f t="shared" si="1"/>
        <v>Female</v>
      </c>
      <c r="F42" s="1">
        <v>30000</v>
      </c>
      <c r="G42">
        <v>2</v>
      </c>
      <c r="H42" t="s">
        <v>19</v>
      </c>
      <c r="I42" t="s">
        <v>20</v>
      </c>
      <c r="J42" t="s">
        <v>18</v>
      </c>
      <c r="K42">
        <v>0</v>
      </c>
      <c r="L42" t="s">
        <v>16</v>
      </c>
      <c r="M42" t="s">
        <v>17</v>
      </c>
      <c r="N42">
        <v>43</v>
      </c>
      <c r="O42" t="s">
        <v>18</v>
      </c>
    </row>
    <row r="43" spans="1:18" x14ac:dyDescent="0.2">
      <c r="A43">
        <v>14347</v>
      </c>
      <c r="B43" t="s">
        <v>35</v>
      </c>
      <c r="C43" s="16" t="str">
        <f t="shared" si="0"/>
        <v>Single</v>
      </c>
      <c r="D43" t="s">
        <v>33</v>
      </c>
      <c r="E43" s="16" t="str">
        <f t="shared" si="1"/>
        <v>Female</v>
      </c>
      <c r="F43" s="1">
        <v>40000</v>
      </c>
      <c r="G43">
        <v>2</v>
      </c>
      <c r="H43" t="s">
        <v>13</v>
      </c>
      <c r="I43" t="s">
        <v>28</v>
      </c>
      <c r="J43" t="s">
        <v>15</v>
      </c>
      <c r="K43">
        <v>2</v>
      </c>
      <c r="L43" t="s">
        <v>23</v>
      </c>
      <c r="M43" t="s">
        <v>24</v>
      </c>
      <c r="N43">
        <v>65</v>
      </c>
      <c r="O43" t="s">
        <v>15</v>
      </c>
    </row>
    <row r="44" spans="1:18" x14ac:dyDescent="0.2">
      <c r="A44">
        <v>17703</v>
      </c>
      <c r="B44" t="s">
        <v>34</v>
      </c>
      <c r="C44" s="16" t="str">
        <f t="shared" si="0"/>
        <v>Married</v>
      </c>
      <c r="D44" t="s">
        <v>33</v>
      </c>
      <c r="E44" s="16" t="str">
        <f t="shared" si="1"/>
        <v>Female</v>
      </c>
      <c r="F44" s="1">
        <v>10000</v>
      </c>
      <c r="G44">
        <v>1</v>
      </c>
      <c r="H44" t="s">
        <v>31</v>
      </c>
      <c r="I44" t="s">
        <v>25</v>
      </c>
      <c r="J44" t="s">
        <v>15</v>
      </c>
      <c r="K44">
        <v>0</v>
      </c>
      <c r="L44" t="s">
        <v>16</v>
      </c>
      <c r="M44" t="s">
        <v>17</v>
      </c>
      <c r="N44">
        <v>40</v>
      </c>
      <c r="O44" t="s">
        <v>18</v>
      </c>
    </row>
    <row r="45" spans="1:18" x14ac:dyDescent="0.2">
      <c r="A45">
        <v>17185</v>
      </c>
      <c r="B45" t="s">
        <v>34</v>
      </c>
      <c r="C45" s="16" t="str">
        <f t="shared" si="0"/>
        <v>Married</v>
      </c>
      <c r="D45" t="s">
        <v>33</v>
      </c>
      <c r="E45" s="16" t="str">
        <f t="shared" si="1"/>
        <v>Female</v>
      </c>
      <c r="F45" s="1">
        <v>170000</v>
      </c>
      <c r="G45">
        <v>4</v>
      </c>
      <c r="H45" t="s">
        <v>19</v>
      </c>
      <c r="I45" t="s">
        <v>21</v>
      </c>
      <c r="J45" t="s">
        <v>18</v>
      </c>
      <c r="K45">
        <v>3</v>
      </c>
      <c r="L45" t="s">
        <v>23</v>
      </c>
      <c r="M45" t="s">
        <v>17</v>
      </c>
      <c r="N45">
        <v>48</v>
      </c>
      <c r="O45" t="s">
        <v>15</v>
      </c>
    </row>
    <row r="46" spans="1:18" x14ac:dyDescent="0.2">
      <c r="A46">
        <v>29380</v>
      </c>
      <c r="B46" t="s">
        <v>34</v>
      </c>
      <c r="C46" s="16" t="str">
        <f t="shared" si="0"/>
        <v>Married</v>
      </c>
      <c r="D46" t="s">
        <v>33</v>
      </c>
      <c r="E46" s="16" t="str">
        <f t="shared" si="1"/>
        <v>Female</v>
      </c>
      <c r="F46" s="1">
        <v>20000</v>
      </c>
      <c r="G46">
        <v>3</v>
      </c>
      <c r="H46" t="s">
        <v>27</v>
      </c>
      <c r="I46" t="s">
        <v>25</v>
      </c>
      <c r="J46" t="s">
        <v>15</v>
      </c>
      <c r="K46">
        <v>0</v>
      </c>
      <c r="L46" t="s">
        <v>16</v>
      </c>
      <c r="M46" t="s">
        <v>17</v>
      </c>
      <c r="N46">
        <v>41</v>
      </c>
      <c r="O46" t="s">
        <v>15</v>
      </c>
    </row>
    <row r="47" spans="1:18" x14ac:dyDescent="0.2">
      <c r="A47">
        <v>23986</v>
      </c>
      <c r="B47" t="s">
        <v>34</v>
      </c>
      <c r="C47" s="16" t="str">
        <f t="shared" si="0"/>
        <v>Married</v>
      </c>
      <c r="D47" t="s">
        <v>33</v>
      </c>
      <c r="E47" s="16" t="str">
        <f t="shared" si="1"/>
        <v>Female</v>
      </c>
      <c r="F47" s="1">
        <v>20000</v>
      </c>
      <c r="G47">
        <v>1</v>
      </c>
      <c r="H47" t="s">
        <v>13</v>
      </c>
      <c r="I47" t="s">
        <v>20</v>
      </c>
      <c r="J47" t="s">
        <v>15</v>
      </c>
      <c r="K47">
        <v>0</v>
      </c>
      <c r="L47" t="s">
        <v>16</v>
      </c>
      <c r="M47" t="s">
        <v>17</v>
      </c>
      <c r="N47">
        <v>66</v>
      </c>
      <c r="O47" t="s">
        <v>15</v>
      </c>
    </row>
    <row r="48" spans="1:18" x14ac:dyDescent="0.2">
      <c r="A48">
        <v>24466</v>
      </c>
      <c r="B48" t="s">
        <v>34</v>
      </c>
      <c r="C48" s="16" t="str">
        <f t="shared" si="0"/>
        <v>Married</v>
      </c>
      <c r="D48" t="s">
        <v>33</v>
      </c>
      <c r="E48" s="16" t="str">
        <f t="shared" si="1"/>
        <v>Female</v>
      </c>
      <c r="F48" s="1">
        <v>60000</v>
      </c>
      <c r="G48">
        <v>1</v>
      </c>
      <c r="H48" t="s">
        <v>19</v>
      </c>
      <c r="I48" t="s">
        <v>14</v>
      </c>
      <c r="J48" t="s">
        <v>15</v>
      </c>
      <c r="K48">
        <v>1</v>
      </c>
      <c r="L48" t="s">
        <v>23</v>
      </c>
      <c r="M48" t="s">
        <v>24</v>
      </c>
      <c r="N48">
        <v>46</v>
      </c>
      <c r="O48" t="s">
        <v>15</v>
      </c>
    </row>
    <row r="49" spans="1:15" x14ac:dyDescent="0.2">
      <c r="A49">
        <v>29097</v>
      </c>
      <c r="B49" t="s">
        <v>35</v>
      </c>
      <c r="C49" s="16" t="str">
        <f t="shared" si="0"/>
        <v>Single</v>
      </c>
      <c r="D49" t="s">
        <v>33</v>
      </c>
      <c r="E49" s="16" t="str">
        <f t="shared" si="1"/>
        <v>Female</v>
      </c>
      <c r="F49" s="1">
        <v>40000</v>
      </c>
      <c r="G49">
        <v>2</v>
      </c>
      <c r="H49" t="s">
        <v>19</v>
      </c>
      <c r="I49" t="s">
        <v>14</v>
      </c>
      <c r="J49" t="s">
        <v>15</v>
      </c>
      <c r="K49">
        <v>2</v>
      </c>
      <c r="L49" t="s">
        <v>23</v>
      </c>
      <c r="M49" t="s">
        <v>24</v>
      </c>
      <c r="N49">
        <v>52</v>
      </c>
      <c r="O49" t="s">
        <v>15</v>
      </c>
    </row>
    <row r="50" spans="1:15" x14ac:dyDescent="0.2">
      <c r="A50">
        <v>19487</v>
      </c>
      <c r="B50" t="s">
        <v>34</v>
      </c>
      <c r="C50" s="16" t="str">
        <f t="shared" si="0"/>
        <v>Married</v>
      </c>
      <c r="D50" t="s">
        <v>34</v>
      </c>
      <c r="E50" s="16" t="str">
        <f t="shared" si="1"/>
        <v>Male</v>
      </c>
      <c r="F50" s="1">
        <v>30000</v>
      </c>
      <c r="G50">
        <v>2</v>
      </c>
      <c r="H50" t="s">
        <v>19</v>
      </c>
      <c r="I50" t="s">
        <v>20</v>
      </c>
      <c r="J50" t="s">
        <v>18</v>
      </c>
      <c r="K50">
        <v>2</v>
      </c>
      <c r="L50" t="s">
        <v>16</v>
      </c>
      <c r="M50" t="s">
        <v>17</v>
      </c>
      <c r="N50">
        <v>42</v>
      </c>
      <c r="O50" t="s">
        <v>18</v>
      </c>
    </row>
    <row r="51" spans="1:15" x14ac:dyDescent="0.2">
      <c r="A51">
        <v>14939</v>
      </c>
      <c r="B51" t="s">
        <v>35</v>
      </c>
      <c r="C51" s="16" t="str">
        <f t="shared" si="0"/>
        <v>Single</v>
      </c>
      <c r="D51" t="s">
        <v>34</v>
      </c>
      <c r="E51" s="16" t="str">
        <f t="shared" si="1"/>
        <v>Male</v>
      </c>
      <c r="F51" s="1">
        <v>40000</v>
      </c>
      <c r="G51">
        <v>0</v>
      </c>
      <c r="H51" t="s">
        <v>13</v>
      </c>
      <c r="I51" t="s">
        <v>20</v>
      </c>
      <c r="J51" t="s">
        <v>15</v>
      </c>
      <c r="K51">
        <v>0</v>
      </c>
      <c r="L51" t="s">
        <v>16</v>
      </c>
      <c r="M51" t="s">
        <v>17</v>
      </c>
      <c r="N51">
        <v>39</v>
      </c>
      <c r="O51" t="s">
        <v>15</v>
      </c>
    </row>
    <row r="52" spans="1:15" x14ac:dyDescent="0.2">
      <c r="A52">
        <v>13826</v>
      </c>
      <c r="B52" t="s">
        <v>35</v>
      </c>
      <c r="C52" s="16" t="str">
        <f t="shared" si="0"/>
        <v>Single</v>
      </c>
      <c r="D52" t="s">
        <v>33</v>
      </c>
      <c r="E52" s="16" t="str">
        <f t="shared" si="1"/>
        <v>Female</v>
      </c>
      <c r="F52" s="1">
        <v>30000</v>
      </c>
      <c r="G52">
        <v>0</v>
      </c>
      <c r="H52" t="s">
        <v>19</v>
      </c>
      <c r="I52" t="s">
        <v>20</v>
      </c>
      <c r="J52" t="s">
        <v>18</v>
      </c>
      <c r="K52">
        <v>1</v>
      </c>
      <c r="L52" t="s">
        <v>16</v>
      </c>
      <c r="M52" t="s">
        <v>17</v>
      </c>
      <c r="N52">
        <v>28</v>
      </c>
      <c r="O52" t="s">
        <v>18</v>
      </c>
    </row>
    <row r="53" spans="1:15" x14ac:dyDescent="0.2">
      <c r="A53">
        <v>20619</v>
      </c>
      <c r="B53" t="s">
        <v>35</v>
      </c>
      <c r="C53" s="16" t="str">
        <f t="shared" si="0"/>
        <v>Single</v>
      </c>
      <c r="D53" t="s">
        <v>34</v>
      </c>
      <c r="E53" s="16" t="str">
        <f t="shared" si="1"/>
        <v>Male</v>
      </c>
      <c r="F53" s="1">
        <v>80000</v>
      </c>
      <c r="G53">
        <v>0</v>
      </c>
      <c r="H53" t="s">
        <v>13</v>
      </c>
      <c r="I53" t="s">
        <v>21</v>
      </c>
      <c r="J53" t="s">
        <v>18</v>
      </c>
      <c r="K53">
        <v>4</v>
      </c>
      <c r="L53" t="s">
        <v>30</v>
      </c>
      <c r="M53" t="s">
        <v>24</v>
      </c>
      <c r="N53">
        <v>35</v>
      </c>
      <c r="O53" t="s">
        <v>18</v>
      </c>
    </row>
    <row r="54" spans="1:15" x14ac:dyDescent="0.2">
      <c r="A54">
        <v>12558</v>
      </c>
      <c r="B54" t="s">
        <v>34</v>
      </c>
      <c r="C54" s="16" t="str">
        <f t="shared" si="0"/>
        <v>Married</v>
      </c>
      <c r="D54" t="s">
        <v>33</v>
      </c>
      <c r="E54" s="16" t="str">
        <f t="shared" si="1"/>
        <v>Female</v>
      </c>
      <c r="F54" s="1">
        <v>20000</v>
      </c>
      <c r="G54">
        <v>1</v>
      </c>
      <c r="H54" t="s">
        <v>13</v>
      </c>
      <c r="I54" t="s">
        <v>20</v>
      </c>
      <c r="J54" t="s">
        <v>15</v>
      </c>
      <c r="K54">
        <v>0</v>
      </c>
      <c r="L54" t="s">
        <v>16</v>
      </c>
      <c r="M54" t="s">
        <v>17</v>
      </c>
      <c r="N54">
        <v>65</v>
      </c>
      <c r="O54" t="s">
        <v>18</v>
      </c>
    </row>
    <row r="55" spans="1:15" x14ac:dyDescent="0.2">
      <c r="A55">
        <v>24871</v>
      </c>
      <c r="B55" t="s">
        <v>35</v>
      </c>
      <c r="C55" s="16" t="str">
        <f t="shared" si="0"/>
        <v>Single</v>
      </c>
      <c r="D55" t="s">
        <v>33</v>
      </c>
      <c r="E55" s="16" t="str">
        <f t="shared" si="1"/>
        <v>Female</v>
      </c>
      <c r="F55" s="1">
        <v>90000</v>
      </c>
      <c r="G55">
        <v>4</v>
      </c>
      <c r="H55" t="s">
        <v>27</v>
      </c>
      <c r="I55" t="s">
        <v>28</v>
      </c>
      <c r="J55" t="s">
        <v>18</v>
      </c>
      <c r="K55">
        <v>3</v>
      </c>
      <c r="L55" t="s">
        <v>23</v>
      </c>
      <c r="M55" t="s">
        <v>17</v>
      </c>
      <c r="N55">
        <v>56</v>
      </c>
      <c r="O55" t="s">
        <v>18</v>
      </c>
    </row>
    <row r="56" spans="1:15" x14ac:dyDescent="0.2">
      <c r="A56">
        <v>17319</v>
      </c>
      <c r="B56" t="s">
        <v>35</v>
      </c>
      <c r="C56" s="16" t="str">
        <f t="shared" si="0"/>
        <v>Single</v>
      </c>
      <c r="D56" t="s">
        <v>33</v>
      </c>
      <c r="E56" s="16" t="str">
        <f t="shared" si="1"/>
        <v>Female</v>
      </c>
      <c r="F56" s="1">
        <v>70000</v>
      </c>
      <c r="G56">
        <v>0</v>
      </c>
      <c r="H56" t="s">
        <v>13</v>
      </c>
      <c r="I56" t="s">
        <v>21</v>
      </c>
      <c r="J56" t="s">
        <v>18</v>
      </c>
      <c r="K56">
        <v>1</v>
      </c>
      <c r="L56" t="s">
        <v>23</v>
      </c>
      <c r="M56" t="s">
        <v>24</v>
      </c>
      <c r="N56">
        <v>42</v>
      </c>
      <c r="O56" t="s">
        <v>18</v>
      </c>
    </row>
    <row r="57" spans="1:15" x14ac:dyDescent="0.2">
      <c r="A57">
        <v>28906</v>
      </c>
      <c r="B57" t="s">
        <v>34</v>
      </c>
      <c r="C57" s="16" t="str">
        <f t="shared" si="0"/>
        <v>Married</v>
      </c>
      <c r="D57" t="s">
        <v>34</v>
      </c>
      <c r="E57" s="16" t="str">
        <f t="shared" si="1"/>
        <v>Male</v>
      </c>
      <c r="F57" s="1">
        <v>80000</v>
      </c>
      <c r="G57">
        <v>4</v>
      </c>
      <c r="H57" t="s">
        <v>27</v>
      </c>
      <c r="I57" t="s">
        <v>21</v>
      </c>
      <c r="J57" t="s">
        <v>15</v>
      </c>
      <c r="K57">
        <v>2</v>
      </c>
      <c r="L57" t="s">
        <v>30</v>
      </c>
      <c r="M57" t="s">
        <v>17</v>
      </c>
      <c r="N57">
        <v>54</v>
      </c>
      <c r="O57" t="s">
        <v>18</v>
      </c>
    </row>
    <row r="58" spans="1:15" x14ac:dyDescent="0.2">
      <c r="A58">
        <v>12808</v>
      </c>
      <c r="B58" t="s">
        <v>34</v>
      </c>
      <c r="C58" s="16" t="str">
        <f t="shared" si="0"/>
        <v>Married</v>
      </c>
      <c r="D58" t="s">
        <v>34</v>
      </c>
      <c r="E58" s="16" t="str">
        <f t="shared" si="1"/>
        <v>Male</v>
      </c>
      <c r="F58" s="1">
        <v>40000</v>
      </c>
      <c r="G58">
        <v>0</v>
      </c>
      <c r="H58" t="s">
        <v>13</v>
      </c>
      <c r="I58" t="s">
        <v>20</v>
      </c>
      <c r="J58" t="s">
        <v>15</v>
      </c>
      <c r="K58">
        <v>0</v>
      </c>
      <c r="L58" t="s">
        <v>16</v>
      </c>
      <c r="M58" t="s">
        <v>17</v>
      </c>
      <c r="N58">
        <v>38</v>
      </c>
      <c r="O58" t="s">
        <v>15</v>
      </c>
    </row>
    <row r="59" spans="1:15" x14ac:dyDescent="0.2">
      <c r="A59">
        <v>20567</v>
      </c>
      <c r="B59" t="s">
        <v>34</v>
      </c>
      <c r="C59" s="16" t="str">
        <f t="shared" si="0"/>
        <v>Married</v>
      </c>
      <c r="D59" t="s">
        <v>34</v>
      </c>
      <c r="E59" s="16" t="str">
        <f t="shared" si="1"/>
        <v>Male</v>
      </c>
      <c r="F59" s="1">
        <v>130000</v>
      </c>
      <c r="G59">
        <v>4</v>
      </c>
      <c r="H59" t="s">
        <v>19</v>
      </c>
      <c r="I59" t="s">
        <v>21</v>
      </c>
      <c r="J59" t="s">
        <v>18</v>
      </c>
      <c r="K59">
        <v>4</v>
      </c>
      <c r="L59" t="s">
        <v>23</v>
      </c>
      <c r="M59" t="s">
        <v>17</v>
      </c>
      <c r="N59">
        <v>61</v>
      </c>
      <c r="O59" t="s">
        <v>15</v>
      </c>
    </row>
    <row r="60" spans="1:15" x14ac:dyDescent="0.2">
      <c r="A60">
        <v>25502</v>
      </c>
      <c r="B60" t="s">
        <v>34</v>
      </c>
      <c r="C60" s="16" t="str">
        <f t="shared" si="0"/>
        <v>Married</v>
      </c>
      <c r="D60" t="s">
        <v>33</v>
      </c>
      <c r="E60" s="16" t="str">
        <f t="shared" si="1"/>
        <v>Female</v>
      </c>
      <c r="F60" s="1">
        <v>40000</v>
      </c>
      <c r="G60">
        <v>1</v>
      </c>
      <c r="H60" t="s">
        <v>13</v>
      </c>
      <c r="I60" t="s">
        <v>14</v>
      </c>
      <c r="J60" t="s">
        <v>15</v>
      </c>
      <c r="K60">
        <v>0</v>
      </c>
      <c r="L60" t="s">
        <v>16</v>
      </c>
      <c r="M60" t="s">
        <v>17</v>
      </c>
      <c r="N60">
        <v>43</v>
      </c>
      <c r="O60" t="s">
        <v>15</v>
      </c>
    </row>
    <row r="61" spans="1:15" x14ac:dyDescent="0.2">
      <c r="A61">
        <v>15580</v>
      </c>
      <c r="B61" t="s">
        <v>34</v>
      </c>
      <c r="C61" s="16" t="str">
        <f t="shared" si="0"/>
        <v>Married</v>
      </c>
      <c r="D61" t="s">
        <v>34</v>
      </c>
      <c r="E61" s="16" t="str">
        <f t="shared" si="1"/>
        <v>Male</v>
      </c>
      <c r="F61" s="1">
        <v>60000</v>
      </c>
      <c r="G61">
        <v>2</v>
      </c>
      <c r="H61" t="s">
        <v>13</v>
      </c>
      <c r="I61" t="s">
        <v>21</v>
      </c>
      <c r="J61" t="s">
        <v>15</v>
      </c>
      <c r="K61">
        <v>1</v>
      </c>
      <c r="L61" t="s">
        <v>22</v>
      </c>
      <c r="M61" t="s">
        <v>24</v>
      </c>
      <c r="N61">
        <v>38</v>
      </c>
      <c r="O61" t="s">
        <v>15</v>
      </c>
    </row>
    <row r="62" spans="1:15" x14ac:dyDescent="0.2">
      <c r="A62">
        <v>24185</v>
      </c>
      <c r="B62" t="s">
        <v>35</v>
      </c>
      <c r="C62" s="16" t="str">
        <f t="shared" si="0"/>
        <v>Single</v>
      </c>
      <c r="D62" t="s">
        <v>33</v>
      </c>
      <c r="E62" s="16" t="str">
        <f t="shared" si="1"/>
        <v>Female</v>
      </c>
      <c r="F62" s="1">
        <v>10000</v>
      </c>
      <c r="G62">
        <v>1</v>
      </c>
      <c r="H62" t="s">
        <v>27</v>
      </c>
      <c r="I62" t="s">
        <v>25</v>
      </c>
      <c r="J62" t="s">
        <v>18</v>
      </c>
      <c r="K62">
        <v>1</v>
      </c>
      <c r="L62" t="s">
        <v>26</v>
      </c>
      <c r="M62" t="s">
        <v>17</v>
      </c>
      <c r="N62">
        <v>45</v>
      </c>
      <c r="O62" t="s">
        <v>18</v>
      </c>
    </row>
    <row r="63" spans="1:15" x14ac:dyDescent="0.2">
      <c r="A63">
        <v>19291</v>
      </c>
      <c r="B63" t="s">
        <v>35</v>
      </c>
      <c r="C63" s="16" t="str">
        <f t="shared" si="0"/>
        <v>Single</v>
      </c>
      <c r="D63" t="s">
        <v>33</v>
      </c>
      <c r="E63" s="16" t="str">
        <f t="shared" si="1"/>
        <v>Female</v>
      </c>
      <c r="F63" s="1">
        <v>10000</v>
      </c>
      <c r="G63">
        <v>2</v>
      </c>
      <c r="H63" t="s">
        <v>27</v>
      </c>
      <c r="I63" t="s">
        <v>25</v>
      </c>
      <c r="J63" t="s">
        <v>15</v>
      </c>
      <c r="K63">
        <v>0</v>
      </c>
      <c r="L63" t="s">
        <v>16</v>
      </c>
      <c r="M63" t="s">
        <v>17</v>
      </c>
      <c r="N63">
        <v>35</v>
      </c>
      <c r="O63" t="s">
        <v>18</v>
      </c>
    </row>
    <row r="64" spans="1:15" x14ac:dyDescent="0.2">
      <c r="A64">
        <v>16713</v>
      </c>
      <c r="B64" t="s">
        <v>34</v>
      </c>
      <c r="C64" s="16" t="str">
        <f t="shared" si="0"/>
        <v>Married</v>
      </c>
      <c r="D64" t="s">
        <v>34</v>
      </c>
      <c r="E64" s="16" t="str">
        <f t="shared" si="1"/>
        <v>Male</v>
      </c>
      <c r="F64" s="1">
        <v>40000</v>
      </c>
      <c r="G64">
        <v>2</v>
      </c>
      <c r="H64" t="s">
        <v>13</v>
      </c>
      <c r="I64" t="s">
        <v>28</v>
      </c>
      <c r="J64" t="s">
        <v>15</v>
      </c>
      <c r="K64">
        <v>1</v>
      </c>
      <c r="L64" t="s">
        <v>16</v>
      </c>
      <c r="M64" t="s">
        <v>24</v>
      </c>
      <c r="N64">
        <v>52</v>
      </c>
      <c r="O64" t="s">
        <v>15</v>
      </c>
    </row>
    <row r="65" spans="1:15" x14ac:dyDescent="0.2">
      <c r="A65">
        <v>16185</v>
      </c>
      <c r="B65" t="s">
        <v>35</v>
      </c>
      <c r="C65" s="16" t="str">
        <f t="shared" si="0"/>
        <v>Single</v>
      </c>
      <c r="D65" t="s">
        <v>34</v>
      </c>
      <c r="E65" s="16" t="str">
        <f t="shared" si="1"/>
        <v>Male</v>
      </c>
      <c r="F65" s="1">
        <v>60000</v>
      </c>
      <c r="G65">
        <v>4</v>
      </c>
      <c r="H65" t="s">
        <v>13</v>
      </c>
      <c r="I65" t="s">
        <v>21</v>
      </c>
      <c r="J65" t="s">
        <v>15</v>
      </c>
      <c r="K65">
        <v>3</v>
      </c>
      <c r="L65" t="s">
        <v>30</v>
      </c>
      <c r="M65" t="s">
        <v>24</v>
      </c>
      <c r="N65">
        <v>41</v>
      </c>
      <c r="O65" t="s">
        <v>18</v>
      </c>
    </row>
    <row r="66" spans="1:15" x14ac:dyDescent="0.2">
      <c r="A66">
        <v>14927</v>
      </c>
      <c r="B66" t="s">
        <v>34</v>
      </c>
      <c r="C66" s="16" t="str">
        <f t="shared" ref="C66:C129" si="2">IF(B66="M","Married","Single")</f>
        <v>Married</v>
      </c>
      <c r="D66" t="s">
        <v>33</v>
      </c>
      <c r="E66" s="16" t="str">
        <f t="shared" ref="E66:E129" si="3">IF(D66="F","Female","Male")</f>
        <v>Female</v>
      </c>
      <c r="F66" s="1">
        <v>30000</v>
      </c>
      <c r="G66">
        <v>1</v>
      </c>
      <c r="H66" t="s">
        <v>13</v>
      </c>
      <c r="I66" t="s">
        <v>20</v>
      </c>
      <c r="J66" t="s">
        <v>15</v>
      </c>
      <c r="K66">
        <v>0</v>
      </c>
      <c r="L66" t="s">
        <v>16</v>
      </c>
      <c r="M66" t="s">
        <v>17</v>
      </c>
      <c r="N66">
        <v>37</v>
      </c>
      <c r="O66" t="s">
        <v>15</v>
      </c>
    </row>
    <row r="67" spans="1:15" x14ac:dyDescent="0.2">
      <c r="A67">
        <v>29337</v>
      </c>
      <c r="B67" t="s">
        <v>35</v>
      </c>
      <c r="C67" s="16" t="str">
        <f t="shared" si="2"/>
        <v>Single</v>
      </c>
      <c r="D67" t="s">
        <v>34</v>
      </c>
      <c r="E67" s="16" t="str">
        <f t="shared" si="3"/>
        <v>Male</v>
      </c>
      <c r="F67" s="1">
        <v>30000</v>
      </c>
      <c r="G67">
        <v>2</v>
      </c>
      <c r="H67" t="s">
        <v>19</v>
      </c>
      <c r="I67" t="s">
        <v>20</v>
      </c>
      <c r="J67" t="s">
        <v>15</v>
      </c>
      <c r="K67">
        <v>2</v>
      </c>
      <c r="L67" t="s">
        <v>23</v>
      </c>
      <c r="M67" t="s">
        <v>24</v>
      </c>
      <c r="N67">
        <v>68</v>
      </c>
      <c r="O67" t="s">
        <v>18</v>
      </c>
    </row>
    <row r="68" spans="1:15" x14ac:dyDescent="0.2">
      <c r="A68">
        <v>29355</v>
      </c>
      <c r="B68" t="s">
        <v>34</v>
      </c>
      <c r="C68" s="16" t="str">
        <f t="shared" si="2"/>
        <v>Married</v>
      </c>
      <c r="D68" t="s">
        <v>33</v>
      </c>
      <c r="E68" s="16" t="str">
        <f t="shared" si="3"/>
        <v>Female</v>
      </c>
      <c r="F68" s="1">
        <v>40000</v>
      </c>
      <c r="G68">
        <v>0</v>
      </c>
      <c r="H68" t="s">
        <v>31</v>
      </c>
      <c r="I68" t="s">
        <v>20</v>
      </c>
      <c r="J68" t="s">
        <v>15</v>
      </c>
      <c r="K68">
        <v>0</v>
      </c>
      <c r="L68" t="s">
        <v>16</v>
      </c>
      <c r="M68" t="s">
        <v>17</v>
      </c>
      <c r="N68">
        <v>37</v>
      </c>
      <c r="O68" t="s">
        <v>15</v>
      </c>
    </row>
    <row r="69" spans="1:15" x14ac:dyDescent="0.2">
      <c r="A69">
        <v>25303</v>
      </c>
      <c r="B69" t="s">
        <v>35</v>
      </c>
      <c r="C69" s="16" t="str">
        <f t="shared" si="2"/>
        <v>Single</v>
      </c>
      <c r="D69" t="s">
        <v>34</v>
      </c>
      <c r="E69" s="16" t="str">
        <f t="shared" si="3"/>
        <v>Male</v>
      </c>
      <c r="F69" s="1">
        <v>30000</v>
      </c>
      <c r="G69">
        <v>0</v>
      </c>
      <c r="H69" t="s">
        <v>27</v>
      </c>
      <c r="I69" t="s">
        <v>25</v>
      </c>
      <c r="J69" t="s">
        <v>15</v>
      </c>
      <c r="K69">
        <v>1</v>
      </c>
      <c r="L69" t="s">
        <v>22</v>
      </c>
      <c r="M69" t="s">
        <v>17</v>
      </c>
      <c r="N69">
        <v>33</v>
      </c>
      <c r="O69" t="s">
        <v>15</v>
      </c>
    </row>
    <row r="70" spans="1:15" x14ac:dyDescent="0.2">
      <c r="A70">
        <v>14813</v>
      </c>
      <c r="B70" t="s">
        <v>35</v>
      </c>
      <c r="C70" s="16" t="str">
        <f t="shared" si="2"/>
        <v>Single</v>
      </c>
      <c r="D70" t="s">
        <v>33</v>
      </c>
      <c r="E70" s="16" t="str">
        <f t="shared" si="3"/>
        <v>Female</v>
      </c>
      <c r="F70" s="1">
        <v>20000</v>
      </c>
      <c r="G70">
        <v>4</v>
      </c>
      <c r="H70" t="s">
        <v>27</v>
      </c>
      <c r="I70" t="s">
        <v>25</v>
      </c>
      <c r="J70" t="s">
        <v>15</v>
      </c>
      <c r="K70">
        <v>1</v>
      </c>
      <c r="L70" t="s">
        <v>16</v>
      </c>
      <c r="M70" t="s">
        <v>17</v>
      </c>
      <c r="N70">
        <v>43</v>
      </c>
      <c r="O70" t="s">
        <v>15</v>
      </c>
    </row>
    <row r="71" spans="1:15" x14ac:dyDescent="0.2">
      <c r="A71">
        <v>16438</v>
      </c>
      <c r="B71" t="s">
        <v>34</v>
      </c>
      <c r="C71" s="16" t="str">
        <f t="shared" si="2"/>
        <v>Married</v>
      </c>
      <c r="D71" t="s">
        <v>33</v>
      </c>
      <c r="E71" s="16" t="str">
        <f t="shared" si="3"/>
        <v>Female</v>
      </c>
      <c r="F71" s="1">
        <v>10000</v>
      </c>
      <c r="G71">
        <v>0</v>
      </c>
      <c r="H71" t="s">
        <v>29</v>
      </c>
      <c r="I71" t="s">
        <v>25</v>
      </c>
      <c r="J71" t="s">
        <v>18</v>
      </c>
      <c r="K71">
        <v>2</v>
      </c>
      <c r="L71" t="s">
        <v>16</v>
      </c>
      <c r="M71" t="s">
        <v>17</v>
      </c>
      <c r="N71">
        <v>30</v>
      </c>
      <c r="O71" t="s">
        <v>18</v>
      </c>
    </row>
    <row r="72" spans="1:15" x14ac:dyDescent="0.2">
      <c r="A72">
        <v>14238</v>
      </c>
      <c r="B72" t="s">
        <v>34</v>
      </c>
      <c r="C72" s="16" t="str">
        <f t="shared" si="2"/>
        <v>Married</v>
      </c>
      <c r="D72" t="s">
        <v>34</v>
      </c>
      <c r="E72" s="16" t="str">
        <f t="shared" si="3"/>
        <v>Male</v>
      </c>
      <c r="F72" s="1">
        <v>120000</v>
      </c>
      <c r="G72">
        <v>0</v>
      </c>
      <c r="H72" t="s">
        <v>29</v>
      </c>
      <c r="I72" t="s">
        <v>21</v>
      </c>
      <c r="J72" t="s">
        <v>15</v>
      </c>
      <c r="K72">
        <v>4</v>
      </c>
      <c r="L72" t="s">
        <v>30</v>
      </c>
      <c r="M72" t="s">
        <v>24</v>
      </c>
      <c r="N72">
        <v>36</v>
      </c>
      <c r="O72" t="s">
        <v>15</v>
      </c>
    </row>
    <row r="73" spans="1:15" x14ac:dyDescent="0.2">
      <c r="A73">
        <v>16200</v>
      </c>
      <c r="B73" t="s">
        <v>35</v>
      </c>
      <c r="C73" s="16" t="str">
        <f t="shared" si="2"/>
        <v>Single</v>
      </c>
      <c r="D73" t="s">
        <v>33</v>
      </c>
      <c r="E73" s="16" t="str">
        <f t="shared" si="3"/>
        <v>Female</v>
      </c>
      <c r="F73" s="1">
        <v>10000</v>
      </c>
      <c r="G73">
        <v>0</v>
      </c>
      <c r="H73" t="s">
        <v>29</v>
      </c>
      <c r="I73" t="s">
        <v>25</v>
      </c>
      <c r="J73" t="s">
        <v>18</v>
      </c>
      <c r="K73">
        <v>2</v>
      </c>
      <c r="L73" t="s">
        <v>16</v>
      </c>
      <c r="M73" t="s">
        <v>17</v>
      </c>
      <c r="N73">
        <v>35</v>
      </c>
      <c r="O73" t="s">
        <v>18</v>
      </c>
    </row>
    <row r="74" spans="1:15" x14ac:dyDescent="0.2">
      <c r="A74">
        <v>24857</v>
      </c>
      <c r="B74" t="s">
        <v>34</v>
      </c>
      <c r="C74" s="16" t="str">
        <f t="shared" si="2"/>
        <v>Married</v>
      </c>
      <c r="D74" t="s">
        <v>33</v>
      </c>
      <c r="E74" s="16" t="str">
        <f t="shared" si="3"/>
        <v>Female</v>
      </c>
      <c r="F74" s="1">
        <v>130000</v>
      </c>
      <c r="G74">
        <v>3</v>
      </c>
      <c r="H74" t="s">
        <v>27</v>
      </c>
      <c r="I74" t="s">
        <v>21</v>
      </c>
      <c r="J74" t="s">
        <v>15</v>
      </c>
      <c r="K74">
        <v>4</v>
      </c>
      <c r="L74" t="s">
        <v>16</v>
      </c>
      <c r="M74" t="s">
        <v>17</v>
      </c>
      <c r="N74">
        <v>52</v>
      </c>
      <c r="O74" t="s">
        <v>18</v>
      </c>
    </row>
    <row r="75" spans="1:15" x14ac:dyDescent="0.2">
      <c r="A75">
        <v>26956</v>
      </c>
      <c r="B75" t="s">
        <v>35</v>
      </c>
      <c r="C75" s="16" t="str">
        <f t="shared" si="2"/>
        <v>Single</v>
      </c>
      <c r="D75" t="s">
        <v>33</v>
      </c>
      <c r="E75" s="16" t="str">
        <f t="shared" si="3"/>
        <v>Female</v>
      </c>
      <c r="F75" s="1">
        <v>20000</v>
      </c>
      <c r="G75">
        <v>0</v>
      </c>
      <c r="H75" t="s">
        <v>19</v>
      </c>
      <c r="I75" t="s">
        <v>25</v>
      </c>
      <c r="J75" t="s">
        <v>18</v>
      </c>
      <c r="K75">
        <v>1</v>
      </c>
      <c r="L75" t="s">
        <v>22</v>
      </c>
      <c r="M75" t="s">
        <v>17</v>
      </c>
      <c r="N75">
        <v>36</v>
      </c>
      <c r="O75" t="s">
        <v>15</v>
      </c>
    </row>
    <row r="76" spans="1:15" x14ac:dyDescent="0.2">
      <c r="A76">
        <v>14517</v>
      </c>
      <c r="B76" t="s">
        <v>34</v>
      </c>
      <c r="C76" s="16" t="str">
        <f t="shared" si="2"/>
        <v>Married</v>
      </c>
      <c r="D76" t="s">
        <v>33</v>
      </c>
      <c r="E76" s="16" t="str">
        <f t="shared" si="3"/>
        <v>Female</v>
      </c>
      <c r="F76" s="1">
        <v>20000</v>
      </c>
      <c r="G76">
        <v>3</v>
      </c>
      <c r="H76" t="s">
        <v>27</v>
      </c>
      <c r="I76" t="s">
        <v>14</v>
      </c>
      <c r="J76" t="s">
        <v>18</v>
      </c>
      <c r="K76">
        <v>2</v>
      </c>
      <c r="L76" t="s">
        <v>26</v>
      </c>
      <c r="M76" t="s">
        <v>24</v>
      </c>
      <c r="N76">
        <v>62</v>
      </c>
      <c r="O76" t="s">
        <v>18</v>
      </c>
    </row>
    <row r="77" spans="1:15" x14ac:dyDescent="0.2">
      <c r="A77">
        <v>12678</v>
      </c>
      <c r="B77" t="s">
        <v>35</v>
      </c>
      <c r="C77" s="16" t="str">
        <f t="shared" si="2"/>
        <v>Single</v>
      </c>
      <c r="D77" t="s">
        <v>33</v>
      </c>
      <c r="E77" s="16" t="str">
        <f t="shared" si="3"/>
        <v>Female</v>
      </c>
      <c r="F77" s="1">
        <v>130000</v>
      </c>
      <c r="G77">
        <v>4</v>
      </c>
      <c r="H77" t="s">
        <v>27</v>
      </c>
      <c r="I77" t="s">
        <v>28</v>
      </c>
      <c r="J77" t="s">
        <v>15</v>
      </c>
      <c r="K77">
        <v>4</v>
      </c>
      <c r="L77" t="s">
        <v>16</v>
      </c>
      <c r="M77" t="s">
        <v>24</v>
      </c>
      <c r="N77">
        <v>31</v>
      </c>
      <c r="O77" t="s">
        <v>18</v>
      </c>
    </row>
    <row r="78" spans="1:15" x14ac:dyDescent="0.2">
      <c r="A78">
        <v>16188</v>
      </c>
      <c r="B78" t="s">
        <v>35</v>
      </c>
      <c r="C78" s="16" t="str">
        <f t="shared" si="2"/>
        <v>Single</v>
      </c>
      <c r="D78" t="s">
        <v>33</v>
      </c>
      <c r="E78" s="16" t="str">
        <f t="shared" si="3"/>
        <v>Female</v>
      </c>
      <c r="F78" s="1">
        <v>20000</v>
      </c>
      <c r="G78">
        <v>0</v>
      </c>
      <c r="H78" t="s">
        <v>29</v>
      </c>
      <c r="I78" t="s">
        <v>25</v>
      </c>
      <c r="J78" t="s">
        <v>18</v>
      </c>
      <c r="K78">
        <v>2</v>
      </c>
      <c r="L78" t="s">
        <v>26</v>
      </c>
      <c r="M78" t="s">
        <v>17</v>
      </c>
      <c r="N78">
        <v>26</v>
      </c>
      <c r="O78" t="s">
        <v>18</v>
      </c>
    </row>
    <row r="79" spans="1:15" x14ac:dyDescent="0.2">
      <c r="A79">
        <v>27969</v>
      </c>
      <c r="B79" t="s">
        <v>34</v>
      </c>
      <c r="C79" s="16" t="str">
        <f t="shared" si="2"/>
        <v>Married</v>
      </c>
      <c r="D79" t="s">
        <v>34</v>
      </c>
      <c r="E79" s="16" t="str">
        <f t="shared" si="3"/>
        <v>Male</v>
      </c>
      <c r="F79" s="1">
        <v>80000</v>
      </c>
      <c r="G79">
        <v>0</v>
      </c>
      <c r="H79" t="s">
        <v>13</v>
      </c>
      <c r="I79" t="s">
        <v>21</v>
      </c>
      <c r="J79" t="s">
        <v>15</v>
      </c>
      <c r="K79">
        <v>2</v>
      </c>
      <c r="L79" t="s">
        <v>30</v>
      </c>
      <c r="M79" t="s">
        <v>24</v>
      </c>
      <c r="N79">
        <v>29</v>
      </c>
      <c r="O79" t="s">
        <v>15</v>
      </c>
    </row>
    <row r="80" spans="1:15" x14ac:dyDescent="0.2">
      <c r="A80">
        <v>15752</v>
      </c>
      <c r="B80" t="s">
        <v>34</v>
      </c>
      <c r="C80" s="16" t="str">
        <f t="shared" si="2"/>
        <v>Married</v>
      </c>
      <c r="D80" t="s">
        <v>34</v>
      </c>
      <c r="E80" s="16" t="str">
        <f t="shared" si="3"/>
        <v>Male</v>
      </c>
      <c r="F80" s="1">
        <v>80000</v>
      </c>
      <c r="G80">
        <v>2</v>
      </c>
      <c r="H80" t="s">
        <v>27</v>
      </c>
      <c r="I80" t="s">
        <v>14</v>
      </c>
      <c r="J80" t="s">
        <v>18</v>
      </c>
      <c r="K80">
        <v>2</v>
      </c>
      <c r="L80" t="s">
        <v>26</v>
      </c>
      <c r="M80" t="s">
        <v>24</v>
      </c>
      <c r="N80">
        <v>50</v>
      </c>
      <c r="O80" t="s">
        <v>15</v>
      </c>
    </row>
    <row r="81" spans="1:15" x14ac:dyDescent="0.2">
      <c r="A81">
        <v>27745</v>
      </c>
      <c r="B81" t="s">
        <v>35</v>
      </c>
      <c r="C81" s="16" t="str">
        <f t="shared" si="2"/>
        <v>Single</v>
      </c>
      <c r="D81" t="s">
        <v>34</v>
      </c>
      <c r="E81" s="16" t="str">
        <f t="shared" si="3"/>
        <v>Male</v>
      </c>
      <c r="F81" s="1">
        <v>40000</v>
      </c>
      <c r="G81">
        <v>2</v>
      </c>
      <c r="H81" t="s">
        <v>13</v>
      </c>
      <c r="I81" t="s">
        <v>28</v>
      </c>
      <c r="J81" t="s">
        <v>15</v>
      </c>
      <c r="K81">
        <v>2</v>
      </c>
      <c r="L81" t="s">
        <v>23</v>
      </c>
      <c r="M81" t="s">
        <v>24</v>
      </c>
      <c r="N81">
        <v>63</v>
      </c>
      <c r="O81" t="s">
        <v>15</v>
      </c>
    </row>
    <row r="82" spans="1:15" x14ac:dyDescent="0.2">
      <c r="A82">
        <v>20828</v>
      </c>
      <c r="B82" t="s">
        <v>34</v>
      </c>
      <c r="C82" s="16" t="str">
        <f t="shared" si="2"/>
        <v>Married</v>
      </c>
      <c r="D82" t="s">
        <v>33</v>
      </c>
      <c r="E82" s="16" t="str">
        <f t="shared" si="3"/>
        <v>Female</v>
      </c>
      <c r="F82" s="1">
        <v>30000</v>
      </c>
      <c r="G82">
        <v>4</v>
      </c>
      <c r="H82" t="s">
        <v>31</v>
      </c>
      <c r="I82" t="s">
        <v>20</v>
      </c>
      <c r="J82" t="s">
        <v>15</v>
      </c>
      <c r="K82">
        <v>0</v>
      </c>
      <c r="L82" t="s">
        <v>16</v>
      </c>
      <c r="M82" t="s">
        <v>17</v>
      </c>
      <c r="N82">
        <v>45</v>
      </c>
      <c r="O82" t="s">
        <v>15</v>
      </c>
    </row>
    <row r="83" spans="1:15" x14ac:dyDescent="0.2">
      <c r="A83">
        <v>19461</v>
      </c>
      <c r="B83" t="s">
        <v>35</v>
      </c>
      <c r="C83" s="16" t="str">
        <f t="shared" si="2"/>
        <v>Single</v>
      </c>
      <c r="D83" t="s">
        <v>33</v>
      </c>
      <c r="E83" s="16" t="str">
        <f t="shared" si="3"/>
        <v>Female</v>
      </c>
      <c r="F83" s="1">
        <v>10000</v>
      </c>
      <c r="G83">
        <v>4</v>
      </c>
      <c r="H83" t="s">
        <v>29</v>
      </c>
      <c r="I83" t="s">
        <v>25</v>
      </c>
      <c r="J83" t="s">
        <v>15</v>
      </c>
      <c r="K83">
        <v>2</v>
      </c>
      <c r="L83" t="s">
        <v>16</v>
      </c>
      <c r="M83" t="s">
        <v>17</v>
      </c>
      <c r="N83">
        <v>40</v>
      </c>
      <c r="O83" t="s">
        <v>18</v>
      </c>
    </row>
    <row r="84" spans="1:15" x14ac:dyDescent="0.2">
      <c r="A84">
        <v>26941</v>
      </c>
      <c r="B84" t="s">
        <v>34</v>
      </c>
      <c r="C84" s="16" t="str">
        <f t="shared" si="2"/>
        <v>Married</v>
      </c>
      <c r="D84" t="s">
        <v>34</v>
      </c>
      <c r="E84" s="16" t="str">
        <f t="shared" si="3"/>
        <v>Male</v>
      </c>
      <c r="F84" s="1">
        <v>30000</v>
      </c>
      <c r="G84">
        <v>0</v>
      </c>
      <c r="H84" t="s">
        <v>13</v>
      </c>
      <c r="I84" t="s">
        <v>20</v>
      </c>
      <c r="J84" t="s">
        <v>15</v>
      </c>
      <c r="K84">
        <v>0</v>
      </c>
      <c r="L84" t="s">
        <v>16</v>
      </c>
      <c r="M84" t="s">
        <v>17</v>
      </c>
      <c r="N84">
        <v>47</v>
      </c>
      <c r="O84" t="s">
        <v>15</v>
      </c>
    </row>
    <row r="85" spans="1:15" x14ac:dyDescent="0.2">
      <c r="A85">
        <v>28412</v>
      </c>
      <c r="B85" t="s">
        <v>35</v>
      </c>
      <c r="C85" s="16" t="str">
        <f t="shared" si="2"/>
        <v>Single</v>
      </c>
      <c r="D85" t="s">
        <v>34</v>
      </c>
      <c r="E85" s="16" t="str">
        <f t="shared" si="3"/>
        <v>Male</v>
      </c>
      <c r="F85" s="1">
        <v>20000</v>
      </c>
      <c r="G85">
        <v>0</v>
      </c>
      <c r="H85" t="s">
        <v>27</v>
      </c>
      <c r="I85" t="s">
        <v>25</v>
      </c>
      <c r="J85" t="s">
        <v>18</v>
      </c>
      <c r="K85">
        <v>1</v>
      </c>
      <c r="L85" t="s">
        <v>22</v>
      </c>
      <c r="M85" t="s">
        <v>17</v>
      </c>
      <c r="N85">
        <v>29</v>
      </c>
      <c r="O85" t="s">
        <v>18</v>
      </c>
    </row>
    <row r="86" spans="1:15" x14ac:dyDescent="0.2">
      <c r="A86">
        <v>24485</v>
      </c>
      <c r="B86" t="s">
        <v>35</v>
      </c>
      <c r="C86" s="16" t="str">
        <f t="shared" si="2"/>
        <v>Single</v>
      </c>
      <c r="D86" t="s">
        <v>34</v>
      </c>
      <c r="E86" s="16" t="str">
        <f t="shared" si="3"/>
        <v>Male</v>
      </c>
      <c r="F86" s="1">
        <v>40000</v>
      </c>
      <c r="G86">
        <v>2</v>
      </c>
      <c r="H86" t="s">
        <v>13</v>
      </c>
      <c r="I86" t="s">
        <v>28</v>
      </c>
      <c r="J86" t="s">
        <v>18</v>
      </c>
      <c r="K86">
        <v>1</v>
      </c>
      <c r="L86" t="s">
        <v>23</v>
      </c>
      <c r="M86" t="s">
        <v>24</v>
      </c>
      <c r="N86">
        <v>52</v>
      </c>
      <c r="O86" t="s">
        <v>15</v>
      </c>
    </row>
    <row r="87" spans="1:15" x14ac:dyDescent="0.2">
      <c r="A87">
        <v>16514</v>
      </c>
      <c r="B87" t="s">
        <v>35</v>
      </c>
      <c r="C87" s="16" t="str">
        <f t="shared" si="2"/>
        <v>Single</v>
      </c>
      <c r="D87" t="s">
        <v>34</v>
      </c>
      <c r="E87" s="16" t="str">
        <f t="shared" si="3"/>
        <v>Male</v>
      </c>
      <c r="F87" s="1">
        <v>10000</v>
      </c>
      <c r="G87">
        <v>0</v>
      </c>
      <c r="H87" t="s">
        <v>19</v>
      </c>
      <c r="I87" t="s">
        <v>25</v>
      </c>
      <c r="J87" t="s">
        <v>15</v>
      </c>
      <c r="K87">
        <v>1</v>
      </c>
      <c r="L87" t="s">
        <v>26</v>
      </c>
      <c r="M87" t="s">
        <v>24</v>
      </c>
      <c r="N87">
        <v>26</v>
      </c>
      <c r="O87" t="s">
        <v>15</v>
      </c>
    </row>
    <row r="88" spans="1:15" x14ac:dyDescent="0.2">
      <c r="A88">
        <v>17191</v>
      </c>
      <c r="B88" t="s">
        <v>35</v>
      </c>
      <c r="C88" s="16" t="str">
        <f t="shared" si="2"/>
        <v>Single</v>
      </c>
      <c r="D88" t="s">
        <v>34</v>
      </c>
      <c r="E88" s="16" t="str">
        <f t="shared" si="3"/>
        <v>Male</v>
      </c>
      <c r="F88" s="1">
        <v>130000</v>
      </c>
      <c r="G88">
        <v>3</v>
      </c>
      <c r="H88" t="s">
        <v>19</v>
      </c>
      <c r="I88" t="s">
        <v>21</v>
      </c>
      <c r="J88" t="s">
        <v>18</v>
      </c>
      <c r="K88">
        <v>3</v>
      </c>
      <c r="L88" t="s">
        <v>16</v>
      </c>
      <c r="M88" t="s">
        <v>17</v>
      </c>
      <c r="N88">
        <v>51</v>
      </c>
      <c r="O88" t="s">
        <v>15</v>
      </c>
    </row>
    <row r="89" spans="1:15" x14ac:dyDescent="0.2">
      <c r="A89">
        <v>19608</v>
      </c>
      <c r="B89" t="s">
        <v>34</v>
      </c>
      <c r="C89" s="16" t="str">
        <f t="shared" si="2"/>
        <v>Married</v>
      </c>
      <c r="D89" t="s">
        <v>34</v>
      </c>
      <c r="E89" s="16" t="str">
        <f t="shared" si="3"/>
        <v>Male</v>
      </c>
      <c r="F89" s="1">
        <v>80000</v>
      </c>
      <c r="G89">
        <v>5</v>
      </c>
      <c r="H89" t="s">
        <v>13</v>
      </c>
      <c r="I89" t="s">
        <v>21</v>
      </c>
      <c r="J89" t="s">
        <v>15</v>
      </c>
      <c r="K89">
        <v>4</v>
      </c>
      <c r="L89" t="s">
        <v>26</v>
      </c>
      <c r="M89" t="s">
        <v>24</v>
      </c>
      <c r="N89">
        <v>40</v>
      </c>
      <c r="O89" t="s">
        <v>18</v>
      </c>
    </row>
    <row r="90" spans="1:15" x14ac:dyDescent="0.2">
      <c r="A90">
        <v>24119</v>
      </c>
      <c r="B90" t="s">
        <v>35</v>
      </c>
      <c r="C90" s="16" t="str">
        <f t="shared" si="2"/>
        <v>Single</v>
      </c>
      <c r="D90" t="s">
        <v>34</v>
      </c>
      <c r="E90" s="16" t="str">
        <f t="shared" si="3"/>
        <v>Male</v>
      </c>
      <c r="F90" s="1">
        <v>30000</v>
      </c>
      <c r="G90">
        <v>0</v>
      </c>
      <c r="H90" t="s">
        <v>19</v>
      </c>
      <c r="I90" t="s">
        <v>20</v>
      </c>
      <c r="J90" t="s">
        <v>18</v>
      </c>
      <c r="K90">
        <v>1</v>
      </c>
      <c r="L90" t="s">
        <v>22</v>
      </c>
      <c r="M90" t="s">
        <v>17</v>
      </c>
      <c r="N90">
        <v>29</v>
      </c>
      <c r="O90" t="s">
        <v>18</v>
      </c>
    </row>
    <row r="91" spans="1:15" x14ac:dyDescent="0.2">
      <c r="A91">
        <v>25458</v>
      </c>
      <c r="B91" t="s">
        <v>34</v>
      </c>
      <c r="C91" s="16" t="str">
        <f t="shared" si="2"/>
        <v>Married</v>
      </c>
      <c r="D91" t="s">
        <v>34</v>
      </c>
      <c r="E91" s="16" t="str">
        <f t="shared" si="3"/>
        <v>Male</v>
      </c>
      <c r="F91" s="1">
        <v>20000</v>
      </c>
      <c r="G91">
        <v>1</v>
      </c>
      <c r="H91" t="s">
        <v>27</v>
      </c>
      <c r="I91" t="s">
        <v>25</v>
      </c>
      <c r="J91" t="s">
        <v>18</v>
      </c>
      <c r="K91">
        <v>1</v>
      </c>
      <c r="L91" t="s">
        <v>26</v>
      </c>
      <c r="M91" t="s">
        <v>17</v>
      </c>
      <c r="N91">
        <v>40</v>
      </c>
      <c r="O91" t="s">
        <v>15</v>
      </c>
    </row>
    <row r="92" spans="1:15" x14ac:dyDescent="0.2">
      <c r="A92">
        <v>26886</v>
      </c>
      <c r="B92" t="s">
        <v>35</v>
      </c>
      <c r="C92" s="16" t="str">
        <f t="shared" si="2"/>
        <v>Single</v>
      </c>
      <c r="D92" t="s">
        <v>33</v>
      </c>
      <c r="E92" s="16" t="str">
        <f t="shared" si="3"/>
        <v>Female</v>
      </c>
      <c r="F92" s="1">
        <v>30000</v>
      </c>
      <c r="G92">
        <v>0</v>
      </c>
      <c r="H92" t="s">
        <v>19</v>
      </c>
      <c r="I92" t="s">
        <v>20</v>
      </c>
      <c r="J92" t="s">
        <v>18</v>
      </c>
      <c r="K92">
        <v>1</v>
      </c>
      <c r="L92" t="s">
        <v>16</v>
      </c>
      <c r="M92" t="s">
        <v>17</v>
      </c>
      <c r="N92">
        <v>29</v>
      </c>
      <c r="O92" t="s">
        <v>15</v>
      </c>
    </row>
    <row r="93" spans="1:15" x14ac:dyDescent="0.2">
      <c r="A93">
        <v>28436</v>
      </c>
      <c r="B93" t="s">
        <v>35</v>
      </c>
      <c r="C93" s="16" t="str">
        <f t="shared" si="2"/>
        <v>Single</v>
      </c>
      <c r="D93" t="s">
        <v>34</v>
      </c>
      <c r="E93" s="16" t="str">
        <f t="shared" si="3"/>
        <v>Male</v>
      </c>
      <c r="F93" s="1">
        <v>30000</v>
      </c>
      <c r="G93">
        <v>0</v>
      </c>
      <c r="H93" t="s">
        <v>19</v>
      </c>
      <c r="I93" t="s">
        <v>20</v>
      </c>
      <c r="J93" t="s">
        <v>18</v>
      </c>
      <c r="K93">
        <v>1</v>
      </c>
      <c r="L93" t="s">
        <v>16</v>
      </c>
      <c r="M93" t="s">
        <v>17</v>
      </c>
      <c r="N93">
        <v>30</v>
      </c>
      <c r="O93" t="s">
        <v>15</v>
      </c>
    </row>
    <row r="94" spans="1:15" x14ac:dyDescent="0.2">
      <c r="A94">
        <v>19562</v>
      </c>
      <c r="B94" t="s">
        <v>35</v>
      </c>
      <c r="C94" s="16" t="str">
        <f t="shared" si="2"/>
        <v>Single</v>
      </c>
      <c r="D94" t="s">
        <v>33</v>
      </c>
      <c r="E94" s="16" t="str">
        <f t="shared" si="3"/>
        <v>Female</v>
      </c>
      <c r="F94" s="1">
        <v>60000</v>
      </c>
      <c r="G94">
        <v>2</v>
      </c>
      <c r="H94" t="s">
        <v>13</v>
      </c>
      <c r="I94" t="s">
        <v>21</v>
      </c>
      <c r="J94" t="s">
        <v>15</v>
      </c>
      <c r="K94">
        <v>1</v>
      </c>
      <c r="L94" t="s">
        <v>22</v>
      </c>
      <c r="M94" t="s">
        <v>24</v>
      </c>
      <c r="N94">
        <v>37</v>
      </c>
      <c r="O94" t="s">
        <v>15</v>
      </c>
    </row>
    <row r="95" spans="1:15" x14ac:dyDescent="0.2">
      <c r="A95">
        <v>15608</v>
      </c>
      <c r="B95" t="s">
        <v>35</v>
      </c>
      <c r="C95" s="16" t="str">
        <f t="shared" si="2"/>
        <v>Single</v>
      </c>
      <c r="D95" t="s">
        <v>33</v>
      </c>
      <c r="E95" s="16" t="str">
        <f t="shared" si="3"/>
        <v>Female</v>
      </c>
      <c r="F95" s="1">
        <v>30000</v>
      </c>
      <c r="G95">
        <v>0</v>
      </c>
      <c r="H95" t="s">
        <v>19</v>
      </c>
      <c r="I95" t="s">
        <v>20</v>
      </c>
      <c r="J95" t="s">
        <v>18</v>
      </c>
      <c r="K95">
        <v>1</v>
      </c>
      <c r="L95" t="s">
        <v>22</v>
      </c>
      <c r="M95" t="s">
        <v>17</v>
      </c>
      <c r="N95">
        <v>33</v>
      </c>
      <c r="O95" t="s">
        <v>18</v>
      </c>
    </row>
    <row r="96" spans="1:15" x14ac:dyDescent="0.2">
      <c r="A96">
        <v>16487</v>
      </c>
      <c r="B96" t="s">
        <v>35</v>
      </c>
      <c r="C96" s="16" t="str">
        <f t="shared" si="2"/>
        <v>Single</v>
      </c>
      <c r="D96" t="s">
        <v>33</v>
      </c>
      <c r="E96" s="16" t="str">
        <f t="shared" si="3"/>
        <v>Female</v>
      </c>
      <c r="F96" s="1">
        <v>30000</v>
      </c>
      <c r="G96">
        <v>3</v>
      </c>
      <c r="H96" t="s">
        <v>27</v>
      </c>
      <c r="I96" t="s">
        <v>14</v>
      </c>
      <c r="J96" t="s">
        <v>15</v>
      </c>
      <c r="K96">
        <v>2</v>
      </c>
      <c r="L96" t="s">
        <v>23</v>
      </c>
      <c r="M96" t="s">
        <v>24</v>
      </c>
      <c r="N96">
        <v>55</v>
      </c>
      <c r="O96" t="s">
        <v>18</v>
      </c>
    </row>
    <row r="97" spans="1:15" x14ac:dyDescent="0.2">
      <c r="A97">
        <v>17197</v>
      </c>
      <c r="B97" t="s">
        <v>35</v>
      </c>
      <c r="C97" s="16" t="str">
        <f t="shared" si="2"/>
        <v>Single</v>
      </c>
      <c r="D97" t="s">
        <v>33</v>
      </c>
      <c r="E97" s="16" t="str">
        <f t="shared" si="3"/>
        <v>Female</v>
      </c>
      <c r="F97" s="1">
        <v>90000</v>
      </c>
      <c r="G97">
        <v>5</v>
      </c>
      <c r="H97" t="s">
        <v>19</v>
      </c>
      <c r="I97" t="s">
        <v>21</v>
      </c>
      <c r="J97" t="s">
        <v>15</v>
      </c>
      <c r="K97">
        <v>2</v>
      </c>
      <c r="L97" t="s">
        <v>30</v>
      </c>
      <c r="M97" t="s">
        <v>17</v>
      </c>
      <c r="N97">
        <v>62</v>
      </c>
      <c r="O97" t="s">
        <v>18</v>
      </c>
    </row>
    <row r="98" spans="1:15" x14ac:dyDescent="0.2">
      <c r="A98">
        <v>12507</v>
      </c>
      <c r="B98" t="s">
        <v>34</v>
      </c>
      <c r="C98" s="16" t="str">
        <f t="shared" si="2"/>
        <v>Married</v>
      </c>
      <c r="D98" t="s">
        <v>34</v>
      </c>
      <c r="E98" s="16" t="str">
        <f t="shared" si="3"/>
        <v>Male</v>
      </c>
      <c r="F98" s="1">
        <v>30000</v>
      </c>
      <c r="G98">
        <v>1</v>
      </c>
      <c r="H98" t="s">
        <v>19</v>
      </c>
      <c r="I98" t="s">
        <v>20</v>
      </c>
      <c r="J98" t="s">
        <v>15</v>
      </c>
      <c r="K98">
        <v>1</v>
      </c>
      <c r="L98" t="s">
        <v>16</v>
      </c>
      <c r="M98" t="s">
        <v>17</v>
      </c>
      <c r="N98">
        <v>43</v>
      </c>
      <c r="O98" t="s">
        <v>18</v>
      </c>
    </row>
    <row r="99" spans="1:15" x14ac:dyDescent="0.2">
      <c r="A99">
        <v>23940</v>
      </c>
      <c r="B99" t="s">
        <v>34</v>
      </c>
      <c r="C99" s="16" t="str">
        <f t="shared" si="2"/>
        <v>Married</v>
      </c>
      <c r="D99" t="s">
        <v>34</v>
      </c>
      <c r="E99" s="16" t="str">
        <f t="shared" si="3"/>
        <v>Male</v>
      </c>
      <c r="F99" s="1">
        <v>40000</v>
      </c>
      <c r="G99">
        <v>1</v>
      </c>
      <c r="H99" t="s">
        <v>13</v>
      </c>
      <c r="I99" t="s">
        <v>14</v>
      </c>
      <c r="J99" t="s">
        <v>15</v>
      </c>
      <c r="K99">
        <v>1</v>
      </c>
      <c r="L99" t="s">
        <v>16</v>
      </c>
      <c r="M99" t="s">
        <v>17</v>
      </c>
      <c r="N99">
        <v>44</v>
      </c>
      <c r="O99" t="s">
        <v>15</v>
      </c>
    </row>
    <row r="100" spans="1:15" x14ac:dyDescent="0.2">
      <c r="A100">
        <v>19441</v>
      </c>
      <c r="B100" t="s">
        <v>34</v>
      </c>
      <c r="C100" s="16" t="str">
        <f t="shared" si="2"/>
        <v>Married</v>
      </c>
      <c r="D100" t="s">
        <v>34</v>
      </c>
      <c r="E100" s="16" t="str">
        <f t="shared" si="3"/>
        <v>Male</v>
      </c>
      <c r="F100" s="1">
        <v>40000</v>
      </c>
      <c r="G100">
        <v>0</v>
      </c>
      <c r="H100" t="s">
        <v>31</v>
      </c>
      <c r="I100" t="s">
        <v>20</v>
      </c>
      <c r="J100" t="s">
        <v>15</v>
      </c>
      <c r="K100">
        <v>0</v>
      </c>
      <c r="L100" t="s">
        <v>16</v>
      </c>
      <c r="M100" t="s">
        <v>17</v>
      </c>
      <c r="N100">
        <v>25</v>
      </c>
      <c r="O100" t="s">
        <v>15</v>
      </c>
    </row>
    <row r="101" spans="1:15" x14ac:dyDescent="0.2">
      <c r="A101">
        <v>26852</v>
      </c>
      <c r="B101" t="s">
        <v>34</v>
      </c>
      <c r="C101" s="16" t="str">
        <f t="shared" si="2"/>
        <v>Married</v>
      </c>
      <c r="D101" t="s">
        <v>33</v>
      </c>
      <c r="E101" s="16" t="str">
        <f t="shared" si="3"/>
        <v>Female</v>
      </c>
      <c r="F101" s="1">
        <v>20000</v>
      </c>
      <c r="G101">
        <v>3</v>
      </c>
      <c r="H101" t="s">
        <v>27</v>
      </c>
      <c r="I101" t="s">
        <v>25</v>
      </c>
      <c r="J101" t="s">
        <v>15</v>
      </c>
      <c r="K101">
        <v>2</v>
      </c>
      <c r="L101" t="s">
        <v>16</v>
      </c>
      <c r="M101" t="s">
        <v>17</v>
      </c>
      <c r="N101">
        <v>43</v>
      </c>
      <c r="O101" t="s">
        <v>18</v>
      </c>
    </row>
    <row r="102" spans="1:15" x14ac:dyDescent="0.2">
      <c r="A102">
        <v>12274</v>
      </c>
      <c r="B102" t="s">
        <v>35</v>
      </c>
      <c r="C102" s="16" t="str">
        <f t="shared" si="2"/>
        <v>Single</v>
      </c>
      <c r="D102" t="s">
        <v>34</v>
      </c>
      <c r="E102" s="16" t="str">
        <f t="shared" si="3"/>
        <v>Male</v>
      </c>
      <c r="F102" s="1">
        <v>10000</v>
      </c>
      <c r="G102">
        <v>2</v>
      </c>
      <c r="H102" t="s">
        <v>27</v>
      </c>
      <c r="I102" t="s">
        <v>25</v>
      </c>
      <c r="J102" t="s">
        <v>15</v>
      </c>
      <c r="K102">
        <v>0</v>
      </c>
      <c r="L102" t="s">
        <v>16</v>
      </c>
      <c r="M102" t="s">
        <v>17</v>
      </c>
      <c r="N102">
        <v>35</v>
      </c>
      <c r="O102" t="s">
        <v>18</v>
      </c>
    </row>
    <row r="103" spans="1:15" x14ac:dyDescent="0.2">
      <c r="A103">
        <v>20236</v>
      </c>
      <c r="B103" t="s">
        <v>35</v>
      </c>
      <c r="C103" s="16" t="str">
        <f t="shared" si="2"/>
        <v>Single</v>
      </c>
      <c r="D103" t="s">
        <v>34</v>
      </c>
      <c r="E103" s="16" t="str">
        <f t="shared" si="3"/>
        <v>Male</v>
      </c>
      <c r="F103" s="1">
        <v>60000</v>
      </c>
      <c r="G103">
        <v>3</v>
      </c>
      <c r="H103" t="s">
        <v>13</v>
      </c>
      <c r="I103" t="s">
        <v>21</v>
      </c>
      <c r="J103" t="s">
        <v>18</v>
      </c>
      <c r="K103">
        <v>2</v>
      </c>
      <c r="L103" t="s">
        <v>16</v>
      </c>
      <c r="M103" t="s">
        <v>24</v>
      </c>
      <c r="N103">
        <v>43</v>
      </c>
      <c r="O103" t="s">
        <v>15</v>
      </c>
    </row>
    <row r="104" spans="1:15" x14ac:dyDescent="0.2">
      <c r="A104">
        <v>24149</v>
      </c>
      <c r="B104" t="s">
        <v>34</v>
      </c>
      <c r="C104" s="16" t="str">
        <f t="shared" si="2"/>
        <v>Married</v>
      </c>
      <c r="D104" t="s">
        <v>34</v>
      </c>
      <c r="E104" s="16" t="str">
        <f t="shared" si="3"/>
        <v>Male</v>
      </c>
      <c r="F104" s="1">
        <v>10000</v>
      </c>
      <c r="G104">
        <v>2</v>
      </c>
      <c r="H104" t="s">
        <v>19</v>
      </c>
      <c r="I104" t="s">
        <v>25</v>
      </c>
      <c r="J104" t="s">
        <v>15</v>
      </c>
      <c r="K104">
        <v>0</v>
      </c>
      <c r="L104" t="s">
        <v>26</v>
      </c>
      <c r="M104" t="s">
        <v>17</v>
      </c>
      <c r="N104">
        <v>49</v>
      </c>
      <c r="O104" t="s">
        <v>18</v>
      </c>
    </row>
    <row r="105" spans="1:15" x14ac:dyDescent="0.2">
      <c r="A105">
        <v>26139</v>
      </c>
      <c r="B105" t="s">
        <v>35</v>
      </c>
      <c r="C105" s="16" t="str">
        <f t="shared" si="2"/>
        <v>Single</v>
      </c>
      <c r="D105" t="s">
        <v>34</v>
      </c>
      <c r="E105" s="16" t="str">
        <f t="shared" si="3"/>
        <v>Male</v>
      </c>
      <c r="F105" s="1">
        <v>60000</v>
      </c>
      <c r="G105">
        <v>1</v>
      </c>
      <c r="H105" t="s">
        <v>19</v>
      </c>
      <c r="I105" t="s">
        <v>14</v>
      </c>
      <c r="J105" t="s">
        <v>15</v>
      </c>
      <c r="K105">
        <v>1</v>
      </c>
      <c r="L105" t="s">
        <v>23</v>
      </c>
      <c r="M105" t="s">
        <v>24</v>
      </c>
      <c r="N105">
        <v>45</v>
      </c>
      <c r="O105" t="s">
        <v>18</v>
      </c>
    </row>
    <row r="106" spans="1:15" x14ac:dyDescent="0.2">
      <c r="A106">
        <v>18491</v>
      </c>
      <c r="B106" t="s">
        <v>35</v>
      </c>
      <c r="C106" s="16" t="str">
        <f t="shared" si="2"/>
        <v>Single</v>
      </c>
      <c r="D106" t="s">
        <v>33</v>
      </c>
      <c r="E106" s="16" t="str">
        <f t="shared" si="3"/>
        <v>Female</v>
      </c>
      <c r="F106" s="1">
        <v>70000</v>
      </c>
      <c r="G106">
        <v>2</v>
      </c>
      <c r="H106" t="s">
        <v>27</v>
      </c>
      <c r="I106" t="s">
        <v>21</v>
      </c>
      <c r="J106" t="s">
        <v>15</v>
      </c>
      <c r="K106">
        <v>2</v>
      </c>
      <c r="L106" t="s">
        <v>23</v>
      </c>
      <c r="M106" t="s">
        <v>24</v>
      </c>
      <c r="N106">
        <v>49</v>
      </c>
      <c r="O106" t="s">
        <v>15</v>
      </c>
    </row>
    <row r="107" spans="1:15" x14ac:dyDescent="0.2">
      <c r="A107">
        <v>22707</v>
      </c>
      <c r="B107" t="s">
        <v>35</v>
      </c>
      <c r="C107" s="16" t="str">
        <f t="shared" si="2"/>
        <v>Single</v>
      </c>
      <c r="D107" t="s">
        <v>33</v>
      </c>
      <c r="E107" s="16" t="str">
        <f t="shared" si="3"/>
        <v>Female</v>
      </c>
      <c r="F107" s="1">
        <v>30000</v>
      </c>
      <c r="G107">
        <v>0</v>
      </c>
      <c r="H107" t="s">
        <v>19</v>
      </c>
      <c r="I107" t="s">
        <v>20</v>
      </c>
      <c r="J107" t="s">
        <v>18</v>
      </c>
      <c r="K107">
        <v>1</v>
      </c>
      <c r="L107" t="s">
        <v>22</v>
      </c>
      <c r="M107" t="s">
        <v>17</v>
      </c>
      <c r="N107">
        <v>30</v>
      </c>
      <c r="O107" t="s">
        <v>18</v>
      </c>
    </row>
    <row r="108" spans="1:15" x14ac:dyDescent="0.2">
      <c r="A108">
        <v>20430</v>
      </c>
      <c r="B108" t="s">
        <v>34</v>
      </c>
      <c r="C108" s="16" t="str">
        <f t="shared" si="2"/>
        <v>Married</v>
      </c>
      <c r="D108" t="s">
        <v>34</v>
      </c>
      <c r="E108" s="16" t="str">
        <f t="shared" si="3"/>
        <v>Male</v>
      </c>
      <c r="F108" s="1">
        <v>70000</v>
      </c>
      <c r="G108">
        <v>2</v>
      </c>
      <c r="H108" t="s">
        <v>19</v>
      </c>
      <c r="I108" t="s">
        <v>14</v>
      </c>
      <c r="J108" t="s">
        <v>15</v>
      </c>
      <c r="K108">
        <v>2</v>
      </c>
      <c r="L108" t="s">
        <v>23</v>
      </c>
      <c r="M108" t="s">
        <v>24</v>
      </c>
      <c r="N108">
        <v>52</v>
      </c>
      <c r="O108" t="s">
        <v>15</v>
      </c>
    </row>
    <row r="109" spans="1:15" x14ac:dyDescent="0.2">
      <c r="A109">
        <v>27494</v>
      </c>
      <c r="B109" t="s">
        <v>35</v>
      </c>
      <c r="C109" s="16" t="str">
        <f t="shared" si="2"/>
        <v>Single</v>
      </c>
      <c r="D109" t="s">
        <v>33</v>
      </c>
      <c r="E109" s="16" t="str">
        <f t="shared" si="3"/>
        <v>Female</v>
      </c>
      <c r="F109" s="1">
        <v>40000</v>
      </c>
      <c r="G109">
        <v>2</v>
      </c>
      <c r="H109" t="s">
        <v>19</v>
      </c>
      <c r="I109" t="s">
        <v>14</v>
      </c>
      <c r="J109" t="s">
        <v>18</v>
      </c>
      <c r="K109">
        <v>2</v>
      </c>
      <c r="L109" t="s">
        <v>26</v>
      </c>
      <c r="M109" t="s">
        <v>24</v>
      </c>
      <c r="N109">
        <v>53</v>
      </c>
      <c r="O109" t="s">
        <v>15</v>
      </c>
    </row>
    <row r="110" spans="1:15" x14ac:dyDescent="0.2">
      <c r="A110">
        <v>26829</v>
      </c>
      <c r="B110" t="s">
        <v>34</v>
      </c>
      <c r="C110" s="16" t="str">
        <f t="shared" si="2"/>
        <v>Married</v>
      </c>
      <c r="D110" t="s">
        <v>33</v>
      </c>
      <c r="E110" s="16" t="str">
        <f t="shared" si="3"/>
        <v>Female</v>
      </c>
      <c r="F110" s="1">
        <v>40000</v>
      </c>
      <c r="G110">
        <v>0</v>
      </c>
      <c r="H110" t="s">
        <v>13</v>
      </c>
      <c r="I110" t="s">
        <v>20</v>
      </c>
      <c r="J110" t="s">
        <v>15</v>
      </c>
      <c r="K110">
        <v>0</v>
      </c>
      <c r="L110" t="s">
        <v>16</v>
      </c>
      <c r="M110" t="s">
        <v>17</v>
      </c>
      <c r="N110">
        <v>38</v>
      </c>
      <c r="O110" t="s">
        <v>15</v>
      </c>
    </row>
    <row r="111" spans="1:15" x14ac:dyDescent="0.2">
      <c r="A111">
        <v>28395</v>
      </c>
      <c r="B111" t="s">
        <v>35</v>
      </c>
      <c r="C111" s="16" t="str">
        <f t="shared" si="2"/>
        <v>Single</v>
      </c>
      <c r="D111" t="s">
        <v>34</v>
      </c>
      <c r="E111" s="16" t="str">
        <f t="shared" si="3"/>
        <v>Male</v>
      </c>
      <c r="F111" s="1">
        <v>40000</v>
      </c>
      <c r="G111">
        <v>0</v>
      </c>
      <c r="H111" t="s">
        <v>13</v>
      </c>
      <c r="I111" t="s">
        <v>21</v>
      </c>
      <c r="J111" t="s">
        <v>18</v>
      </c>
      <c r="K111">
        <v>0</v>
      </c>
      <c r="L111" t="s">
        <v>16</v>
      </c>
      <c r="M111" t="s">
        <v>17</v>
      </c>
      <c r="N111">
        <v>39</v>
      </c>
      <c r="O111" t="s">
        <v>15</v>
      </c>
    </row>
    <row r="112" spans="1:15" x14ac:dyDescent="0.2">
      <c r="A112">
        <v>21006</v>
      </c>
      <c r="B112" t="s">
        <v>35</v>
      </c>
      <c r="C112" s="16" t="str">
        <f t="shared" si="2"/>
        <v>Single</v>
      </c>
      <c r="D112" t="s">
        <v>33</v>
      </c>
      <c r="E112" s="16" t="str">
        <f t="shared" si="3"/>
        <v>Female</v>
      </c>
      <c r="F112" s="1">
        <v>30000</v>
      </c>
      <c r="G112">
        <v>1</v>
      </c>
      <c r="H112" t="s">
        <v>19</v>
      </c>
      <c r="I112" t="s">
        <v>25</v>
      </c>
      <c r="J112" t="s">
        <v>18</v>
      </c>
      <c r="K112">
        <v>0</v>
      </c>
      <c r="L112" t="s">
        <v>16</v>
      </c>
      <c r="M112" t="s">
        <v>17</v>
      </c>
      <c r="N112">
        <v>46</v>
      </c>
      <c r="O112" t="s">
        <v>15</v>
      </c>
    </row>
    <row r="113" spans="1:15" x14ac:dyDescent="0.2">
      <c r="A113">
        <v>14682</v>
      </c>
      <c r="B113" t="s">
        <v>35</v>
      </c>
      <c r="C113" s="16" t="str">
        <f t="shared" si="2"/>
        <v>Single</v>
      </c>
      <c r="D113" t="s">
        <v>33</v>
      </c>
      <c r="E113" s="16" t="str">
        <f t="shared" si="3"/>
        <v>Female</v>
      </c>
      <c r="F113" s="1">
        <v>70000</v>
      </c>
      <c r="G113">
        <v>0</v>
      </c>
      <c r="H113" t="s">
        <v>13</v>
      </c>
      <c r="I113" t="s">
        <v>21</v>
      </c>
      <c r="J113" t="s">
        <v>18</v>
      </c>
      <c r="K113">
        <v>1</v>
      </c>
      <c r="L113" t="s">
        <v>23</v>
      </c>
      <c r="M113" t="s">
        <v>24</v>
      </c>
      <c r="N113">
        <v>38</v>
      </c>
      <c r="O113" t="s">
        <v>18</v>
      </c>
    </row>
    <row r="114" spans="1:15" x14ac:dyDescent="0.2">
      <c r="A114">
        <v>17650</v>
      </c>
      <c r="B114" t="s">
        <v>35</v>
      </c>
      <c r="C114" s="16" t="str">
        <f t="shared" si="2"/>
        <v>Single</v>
      </c>
      <c r="D114" t="s">
        <v>33</v>
      </c>
      <c r="E114" s="16" t="str">
        <f t="shared" si="3"/>
        <v>Female</v>
      </c>
      <c r="F114" s="1">
        <v>40000</v>
      </c>
      <c r="G114">
        <v>2</v>
      </c>
      <c r="H114" t="s">
        <v>19</v>
      </c>
      <c r="I114" t="s">
        <v>20</v>
      </c>
      <c r="J114" t="s">
        <v>15</v>
      </c>
      <c r="K114">
        <v>2</v>
      </c>
      <c r="L114" t="s">
        <v>26</v>
      </c>
      <c r="M114" t="s">
        <v>17</v>
      </c>
      <c r="N114">
        <v>35</v>
      </c>
      <c r="O114" t="s">
        <v>18</v>
      </c>
    </row>
    <row r="115" spans="1:15" x14ac:dyDescent="0.2">
      <c r="A115">
        <v>29191</v>
      </c>
      <c r="B115" t="s">
        <v>35</v>
      </c>
      <c r="C115" s="16" t="str">
        <f t="shared" si="2"/>
        <v>Single</v>
      </c>
      <c r="D115" t="s">
        <v>33</v>
      </c>
      <c r="E115" s="16" t="str">
        <f t="shared" si="3"/>
        <v>Female</v>
      </c>
      <c r="F115" s="1">
        <v>130000</v>
      </c>
      <c r="G115">
        <v>1</v>
      </c>
      <c r="H115" t="s">
        <v>31</v>
      </c>
      <c r="I115" t="s">
        <v>28</v>
      </c>
      <c r="J115" t="s">
        <v>18</v>
      </c>
      <c r="K115">
        <v>1</v>
      </c>
      <c r="L115" t="s">
        <v>16</v>
      </c>
      <c r="M115" t="s">
        <v>24</v>
      </c>
      <c r="N115">
        <v>36</v>
      </c>
      <c r="O115" t="s">
        <v>15</v>
      </c>
    </row>
    <row r="116" spans="1:15" x14ac:dyDescent="0.2">
      <c r="A116">
        <v>15030</v>
      </c>
      <c r="B116" t="s">
        <v>34</v>
      </c>
      <c r="C116" s="16" t="str">
        <f t="shared" si="2"/>
        <v>Married</v>
      </c>
      <c r="D116" t="s">
        <v>34</v>
      </c>
      <c r="E116" s="16" t="str">
        <f t="shared" si="3"/>
        <v>Male</v>
      </c>
      <c r="F116" s="1">
        <v>20000</v>
      </c>
      <c r="G116">
        <v>0</v>
      </c>
      <c r="H116" t="s">
        <v>13</v>
      </c>
      <c r="I116" t="s">
        <v>20</v>
      </c>
      <c r="J116" t="s">
        <v>15</v>
      </c>
      <c r="K116">
        <v>0</v>
      </c>
      <c r="L116" t="s">
        <v>16</v>
      </c>
      <c r="M116" t="s">
        <v>24</v>
      </c>
      <c r="N116">
        <v>26</v>
      </c>
      <c r="O116" t="s">
        <v>15</v>
      </c>
    </row>
    <row r="117" spans="1:15" x14ac:dyDescent="0.2">
      <c r="A117">
        <v>24140</v>
      </c>
      <c r="B117" t="s">
        <v>35</v>
      </c>
      <c r="C117" s="16" t="str">
        <f t="shared" si="2"/>
        <v>Single</v>
      </c>
      <c r="D117" t="s">
        <v>34</v>
      </c>
      <c r="E117" s="16" t="str">
        <f t="shared" si="3"/>
        <v>Male</v>
      </c>
      <c r="F117" s="1">
        <v>10000</v>
      </c>
      <c r="G117">
        <v>0</v>
      </c>
      <c r="H117" t="s">
        <v>31</v>
      </c>
      <c r="I117" t="s">
        <v>25</v>
      </c>
      <c r="J117" t="s">
        <v>18</v>
      </c>
      <c r="K117">
        <v>0</v>
      </c>
      <c r="L117" t="s">
        <v>16</v>
      </c>
      <c r="M117" t="s">
        <v>17</v>
      </c>
      <c r="N117">
        <v>30</v>
      </c>
      <c r="O117" t="s">
        <v>15</v>
      </c>
    </row>
    <row r="118" spans="1:15" x14ac:dyDescent="0.2">
      <c r="A118">
        <v>22496</v>
      </c>
      <c r="B118" t="s">
        <v>34</v>
      </c>
      <c r="C118" s="16" t="str">
        <f t="shared" si="2"/>
        <v>Married</v>
      </c>
      <c r="D118" t="s">
        <v>33</v>
      </c>
      <c r="E118" s="16" t="str">
        <f t="shared" si="3"/>
        <v>Female</v>
      </c>
      <c r="F118" s="1">
        <v>30000</v>
      </c>
      <c r="G118">
        <v>1</v>
      </c>
      <c r="H118" t="s">
        <v>13</v>
      </c>
      <c r="I118" t="s">
        <v>14</v>
      </c>
      <c r="J118" t="s">
        <v>15</v>
      </c>
      <c r="K118">
        <v>2</v>
      </c>
      <c r="L118" t="s">
        <v>16</v>
      </c>
      <c r="M118" t="s">
        <v>17</v>
      </c>
      <c r="N118">
        <v>42</v>
      </c>
      <c r="O118" t="s">
        <v>18</v>
      </c>
    </row>
    <row r="119" spans="1:15" x14ac:dyDescent="0.2">
      <c r="A119">
        <v>24065</v>
      </c>
      <c r="B119" t="s">
        <v>35</v>
      </c>
      <c r="C119" s="16" t="str">
        <f t="shared" si="2"/>
        <v>Single</v>
      </c>
      <c r="D119" t="s">
        <v>33</v>
      </c>
      <c r="E119" s="16" t="str">
        <f t="shared" si="3"/>
        <v>Female</v>
      </c>
      <c r="F119" s="1">
        <v>20000</v>
      </c>
      <c r="G119">
        <v>0</v>
      </c>
      <c r="H119" t="s">
        <v>27</v>
      </c>
      <c r="I119" t="s">
        <v>25</v>
      </c>
      <c r="J119" t="s">
        <v>15</v>
      </c>
      <c r="K119">
        <v>0</v>
      </c>
      <c r="L119" t="s">
        <v>16</v>
      </c>
      <c r="M119" t="s">
        <v>17</v>
      </c>
      <c r="N119">
        <v>40</v>
      </c>
      <c r="O119" t="s">
        <v>15</v>
      </c>
    </row>
    <row r="120" spans="1:15" x14ac:dyDescent="0.2">
      <c r="A120">
        <v>19914</v>
      </c>
      <c r="B120" t="s">
        <v>34</v>
      </c>
      <c r="C120" s="16" t="str">
        <f t="shared" si="2"/>
        <v>Married</v>
      </c>
      <c r="D120" t="s">
        <v>34</v>
      </c>
      <c r="E120" s="16" t="str">
        <f t="shared" si="3"/>
        <v>Male</v>
      </c>
      <c r="F120" s="1">
        <v>80000</v>
      </c>
      <c r="G120">
        <v>5</v>
      </c>
      <c r="H120" t="s">
        <v>13</v>
      </c>
      <c r="I120" t="s">
        <v>28</v>
      </c>
      <c r="J120" t="s">
        <v>15</v>
      </c>
      <c r="K120">
        <v>2</v>
      </c>
      <c r="L120" t="s">
        <v>22</v>
      </c>
      <c r="M120" t="s">
        <v>17</v>
      </c>
      <c r="N120">
        <v>62</v>
      </c>
      <c r="O120" t="s">
        <v>18</v>
      </c>
    </row>
    <row r="121" spans="1:15" x14ac:dyDescent="0.2">
      <c r="A121">
        <v>12871</v>
      </c>
      <c r="B121" t="s">
        <v>35</v>
      </c>
      <c r="C121" s="16" t="str">
        <f t="shared" si="2"/>
        <v>Single</v>
      </c>
      <c r="D121" t="s">
        <v>33</v>
      </c>
      <c r="E121" s="16" t="str">
        <f t="shared" si="3"/>
        <v>Female</v>
      </c>
      <c r="F121" s="1">
        <v>30000</v>
      </c>
      <c r="G121">
        <v>0</v>
      </c>
      <c r="H121" t="s">
        <v>19</v>
      </c>
      <c r="I121" t="s">
        <v>20</v>
      </c>
      <c r="J121" t="s">
        <v>18</v>
      </c>
      <c r="K121">
        <v>1</v>
      </c>
      <c r="L121" t="s">
        <v>22</v>
      </c>
      <c r="M121" t="s">
        <v>17</v>
      </c>
      <c r="N121">
        <v>29</v>
      </c>
      <c r="O121" t="s">
        <v>18</v>
      </c>
    </row>
    <row r="122" spans="1:15" x14ac:dyDescent="0.2">
      <c r="A122">
        <v>22988</v>
      </c>
      <c r="B122" t="s">
        <v>34</v>
      </c>
      <c r="C122" s="16" t="str">
        <f t="shared" si="2"/>
        <v>Married</v>
      </c>
      <c r="D122" t="s">
        <v>33</v>
      </c>
      <c r="E122" s="16" t="str">
        <f t="shared" si="3"/>
        <v>Female</v>
      </c>
      <c r="F122" s="1">
        <v>40000</v>
      </c>
      <c r="G122">
        <v>2</v>
      </c>
      <c r="H122" t="s">
        <v>13</v>
      </c>
      <c r="I122" t="s">
        <v>28</v>
      </c>
      <c r="J122" t="s">
        <v>15</v>
      </c>
      <c r="K122">
        <v>2</v>
      </c>
      <c r="L122" t="s">
        <v>23</v>
      </c>
      <c r="M122" t="s">
        <v>24</v>
      </c>
      <c r="N122">
        <v>66</v>
      </c>
      <c r="O122" t="s">
        <v>15</v>
      </c>
    </row>
    <row r="123" spans="1:15" x14ac:dyDescent="0.2">
      <c r="A123">
        <v>15922</v>
      </c>
      <c r="B123" t="s">
        <v>34</v>
      </c>
      <c r="C123" s="16" t="str">
        <f t="shared" si="2"/>
        <v>Married</v>
      </c>
      <c r="D123" t="s">
        <v>34</v>
      </c>
      <c r="E123" s="16" t="str">
        <f t="shared" si="3"/>
        <v>Male</v>
      </c>
      <c r="F123" s="1">
        <v>150000</v>
      </c>
      <c r="G123">
        <v>2</v>
      </c>
      <c r="H123" t="s">
        <v>27</v>
      </c>
      <c r="I123" t="s">
        <v>21</v>
      </c>
      <c r="J123" t="s">
        <v>15</v>
      </c>
      <c r="K123">
        <v>4</v>
      </c>
      <c r="L123" t="s">
        <v>16</v>
      </c>
      <c r="M123" t="s">
        <v>17</v>
      </c>
      <c r="N123">
        <v>48</v>
      </c>
      <c r="O123" t="s">
        <v>18</v>
      </c>
    </row>
    <row r="124" spans="1:15" x14ac:dyDescent="0.2">
      <c r="A124">
        <v>12344</v>
      </c>
      <c r="B124" t="s">
        <v>35</v>
      </c>
      <c r="C124" s="16" t="str">
        <f t="shared" si="2"/>
        <v>Single</v>
      </c>
      <c r="D124" t="s">
        <v>33</v>
      </c>
      <c r="E124" s="16" t="str">
        <f t="shared" si="3"/>
        <v>Female</v>
      </c>
      <c r="F124" s="1">
        <v>80000</v>
      </c>
      <c r="G124">
        <v>0</v>
      </c>
      <c r="H124" t="s">
        <v>13</v>
      </c>
      <c r="I124" t="s">
        <v>21</v>
      </c>
      <c r="J124" t="s">
        <v>18</v>
      </c>
      <c r="K124">
        <v>3</v>
      </c>
      <c r="L124" t="s">
        <v>30</v>
      </c>
      <c r="M124" t="s">
        <v>24</v>
      </c>
      <c r="N124">
        <v>31</v>
      </c>
      <c r="O124" t="s">
        <v>18</v>
      </c>
    </row>
    <row r="125" spans="1:15" x14ac:dyDescent="0.2">
      <c r="A125">
        <v>23627</v>
      </c>
      <c r="B125" t="s">
        <v>35</v>
      </c>
      <c r="C125" s="16" t="str">
        <f t="shared" si="2"/>
        <v>Single</v>
      </c>
      <c r="D125" t="s">
        <v>33</v>
      </c>
      <c r="E125" s="16" t="str">
        <f t="shared" si="3"/>
        <v>Female</v>
      </c>
      <c r="F125" s="1">
        <v>100000</v>
      </c>
      <c r="G125">
        <v>3</v>
      </c>
      <c r="H125" t="s">
        <v>19</v>
      </c>
      <c r="I125" t="s">
        <v>28</v>
      </c>
      <c r="J125" t="s">
        <v>18</v>
      </c>
      <c r="K125">
        <v>4</v>
      </c>
      <c r="L125" t="s">
        <v>23</v>
      </c>
      <c r="M125" t="s">
        <v>17</v>
      </c>
      <c r="N125">
        <v>56</v>
      </c>
      <c r="O125" t="s">
        <v>18</v>
      </c>
    </row>
    <row r="126" spans="1:15" x14ac:dyDescent="0.2">
      <c r="A126">
        <v>27775</v>
      </c>
      <c r="B126" t="s">
        <v>35</v>
      </c>
      <c r="C126" s="16" t="str">
        <f t="shared" si="2"/>
        <v>Single</v>
      </c>
      <c r="D126" t="s">
        <v>33</v>
      </c>
      <c r="E126" s="16" t="str">
        <f t="shared" si="3"/>
        <v>Female</v>
      </c>
      <c r="F126" s="1">
        <v>40000</v>
      </c>
      <c r="G126">
        <v>0</v>
      </c>
      <c r="H126" t="s">
        <v>13</v>
      </c>
      <c r="I126" t="s">
        <v>20</v>
      </c>
      <c r="J126" t="s">
        <v>18</v>
      </c>
      <c r="K126">
        <v>0</v>
      </c>
      <c r="L126" t="s">
        <v>16</v>
      </c>
      <c r="M126" t="s">
        <v>17</v>
      </c>
      <c r="N126">
        <v>38</v>
      </c>
      <c r="O126" t="s">
        <v>15</v>
      </c>
    </row>
    <row r="127" spans="1:15" x14ac:dyDescent="0.2">
      <c r="A127">
        <v>29301</v>
      </c>
      <c r="B127" t="s">
        <v>34</v>
      </c>
      <c r="C127" s="16" t="str">
        <f t="shared" si="2"/>
        <v>Married</v>
      </c>
      <c r="D127" t="s">
        <v>34</v>
      </c>
      <c r="E127" s="16" t="str">
        <f t="shared" si="3"/>
        <v>Male</v>
      </c>
      <c r="F127" s="1">
        <v>80000</v>
      </c>
      <c r="G127">
        <v>5</v>
      </c>
      <c r="H127" t="s">
        <v>13</v>
      </c>
      <c r="I127" t="s">
        <v>21</v>
      </c>
      <c r="J127" t="s">
        <v>15</v>
      </c>
      <c r="K127">
        <v>4</v>
      </c>
      <c r="L127" t="s">
        <v>26</v>
      </c>
      <c r="M127" t="s">
        <v>24</v>
      </c>
      <c r="N127">
        <v>40</v>
      </c>
      <c r="O127" t="s">
        <v>18</v>
      </c>
    </row>
    <row r="128" spans="1:15" x14ac:dyDescent="0.2">
      <c r="A128">
        <v>12716</v>
      </c>
      <c r="B128" t="s">
        <v>35</v>
      </c>
      <c r="C128" s="16" t="str">
        <f t="shared" si="2"/>
        <v>Single</v>
      </c>
      <c r="D128" t="s">
        <v>34</v>
      </c>
      <c r="E128" s="16" t="str">
        <f t="shared" si="3"/>
        <v>Male</v>
      </c>
      <c r="F128" s="1">
        <v>30000</v>
      </c>
      <c r="G128">
        <v>0</v>
      </c>
      <c r="H128" t="s">
        <v>19</v>
      </c>
      <c r="I128" t="s">
        <v>20</v>
      </c>
      <c r="J128" t="s">
        <v>15</v>
      </c>
      <c r="K128">
        <v>1</v>
      </c>
      <c r="L128" t="s">
        <v>22</v>
      </c>
      <c r="M128" t="s">
        <v>17</v>
      </c>
      <c r="N128">
        <v>32</v>
      </c>
      <c r="O128" t="s">
        <v>18</v>
      </c>
    </row>
    <row r="129" spans="1:15" x14ac:dyDescent="0.2">
      <c r="A129">
        <v>12472</v>
      </c>
      <c r="B129" t="s">
        <v>34</v>
      </c>
      <c r="C129" s="16" t="str">
        <f t="shared" si="2"/>
        <v>Married</v>
      </c>
      <c r="D129" t="s">
        <v>34</v>
      </c>
      <c r="E129" s="16" t="str">
        <f t="shared" si="3"/>
        <v>Male</v>
      </c>
      <c r="F129" s="1">
        <v>30000</v>
      </c>
      <c r="G129">
        <v>1</v>
      </c>
      <c r="H129" t="s">
        <v>13</v>
      </c>
      <c r="I129" t="s">
        <v>20</v>
      </c>
      <c r="J129" t="s">
        <v>15</v>
      </c>
      <c r="K129">
        <v>1</v>
      </c>
      <c r="L129" t="s">
        <v>22</v>
      </c>
      <c r="M129" t="s">
        <v>17</v>
      </c>
      <c r="N129">
        <v>39</v>
      </c>
      <c r="O129" t="s">
        <v>18</v>
      </c>
    </row>
    <row r="130" spans="1:15" x14ac:dyDescent="0.2">
      <c r="A130">
        <v>20970</v>
      </c>
      <c r="B130" t="s">
        <v>35</v>
      </c>
      <c r="C130" s="16" t="str">
        <f t="shared" ref="C130:C193" si="4">IF(B130="M","Married","Single")</f>
        <v>Single</v>
      </c>
      <c r="D130" t="s">
        <v>34</v>
      </c>
      <c r="E130" s="16" t="str">
        <f t="shared" ref="E130:E193" si="5">IF(D130="F","Female","Male")</f>
        <v>Male</v>
      </c>
      <c r="F130" s="1">
        <v>10000</v>
      </c>
      <c r="G130">
        <v>2</v>
      </c>
      <c r="H130" t="s">
        <v>19</v>
      </c>
      <c r="I130" t="s">
        <v>25</v>
      </c>
      <c r="J130" t="s">
        <v>15</v>
      </c>
      <c r="K130">
        <v>1</v>
      </c>
      <c r="L130" t="s">
        <v>16</v>
      </c>
      <c r="M130" t="s">
        <v>17</v>
      </c>
      <c r="N130">
        <v>52</v>
      </c>
      <c r="O130" t="s">
        <v>15</v>
      </c>
    </row>
    <row r="131" spans="1:15" x14ac:dyDescent="0.2">
      <c r="A131">
        <v>26818</v>
      </c>
      <c r="B131" t="s">
        <v>35</v>
      </c>
      <c r="C131" s="16" t="str">
        <f t="shared" si="4"/>
        <v>Single</v>
      </c>
      <c r="D131" t="s">
        <v>34</v>
      </c>
      <c r="E131" s="16" t="str">
        <f t="shared" si="5"/>
        <v>Male</v>
      </c>
      <c r="F131" s="1">
        <v>10000</v>
      </c>
      <c r="G131">
        <v>3</v>
      </c>
      <c r="H131" t="s">
        <v>27</v>
      </c>
      <c r="I131" t="s">
        <v>25</v>
      </c>
      <c r="J131" t="s">
        <v>15</v>
      </c>
      <c r="K131">
        <v>1</v>
      </c>
      <c r="L131" t="s">
        <v>16</v>
      </c>
      <c r="M131" t="s">
        <v>17</v>
      </c>
      <c r="N131">
        <v>39</v>
      </c>
      <c r="O131" t="s">
        <v>15</v>
      </c>
    </row>
    <row r="132" spans="1:15" x14ac:dyDescent="0.2">
      <c r="A132">
        <v>12993</v>
      </c>
      <c r="B132" t="s">
        <v>34</v>
      </c>
      <c r="C132" s="16" t="str">
        <f t="shared" si="4"/>
        <v>Married</v>
      </c>
      <c r="D132" t="s">
        <v>34</v>
      </c>
      <c r="E132" s="16" t="str">
        <f t="shared" si="5"/>
        <v>Male</v>
      </c>
      <c r="F132" s="1">
        <v>60000</v>
      </c>
      <c r="G132">
        <v>2</v>
      </c>
      <c r="H132" t="s">
        <v>13</v>
      </c>
      <c r="I132" t="s">
        <v>21</v>
      </c>
      <c r="J132" t="s">
        <v>15</v>
      </c>
      <c r="K132">
        <v>1</v>
      </c>
      <c r="L132" t="s">
        <v>22</v>
      </c>
      <c r="M132" t="s">
        <v>24</v>
      </c>
      <c r="N132">
        <v>37</v>
      </c>
      <c r="O132" t="s">
        <v>18</v>
      </c>
    </row>
    <row r="133" spans="1:15" x14ac:dyDescent="0.2">
      <c r="A133">
        <v>14192</v>
      </c>
      <c r="B133" t="s">
        <v>34</v>
      </c>
      <c r="C133" s="16" t="str">
        <f t="shared" si="4"/>
        <v>Married</v>
      </c>
      <c r="D133" t="s">
        <v>34</v>
      </c>
      <c r="E133" s="16" t="str">
        <f t="shared" si="5"/>
        <v>Male</v>
      </c>
      <c r="F133" s="1">
        <v>90000</v>
      </c>
      <c r="G133">
        <v>4</v>
      </c>
      <c r="H133" t="s">
        <v>27</v>
      </c>
      <c r="I133" t="s">
        <v>28</v>
      </c>
      <c r="J133" t="s">
        <v>15</v>
      </c>
      <c r="K133">
        <v>3</v>
      </c>
      <c r="L133" t="s">
        <v>23</v>
      </c>
      <c r="M133" t="s">
        <v>17</v>
      </c>
      <c r="N133">
        <v>56</v>
      </c>
      <c r="O133" t="s">
        <v>15</v>
      </c>
    </row>
    <row r="134" spans="1:15" x14ac:dyDescent="0.2">
      <c r="A134">
        <v>19477</v>
      </c>
      <c r="B134" t="s">
        <v>34</v>
      </c>
      <c r="C134" s="16" t="str">
        <f t="shared" si="4"/>
        <v>Married</v>
      </c>
      <c r="D134" t="s">
        <v>34</v>
      </c>
      <c r="E134" s="16" t="str">
        <f t="shared" si="5"/>
        <v>Male</v>
      </c>
      <c r="F134" s="1">
        <v>40000</v>
      </c>
      <c r="G134">
        <v>0</v>
      </c>
      <c r="H134" t="s">
        <v>13</v>
      </c>
      <c r="I134" t="s">
        <v>21</v>
      </c>
      <c r="J134" t="s">
        <v>15</v>
      </c>
      <c r="K134">
        <v>0</v>
      </c>
      <c r="L134" t="s">
        <v>16</v>
      </c>
      <c r="M134" t="s">
        <v>17</v>
      </c>
      <c r="N134">
        <v>40</v>
      </c>
      <c r="O134" t="s">
        <v>15</v>
      </c>
    </row>
    <row r="135" spans="1:15" x14ac:dyDescent="0.2">
      <c r="A135">
        <v>26796</v>
      </c>
      <c r="B135" t="s">
        <v>35</v>
      </c>
      <c r="C135" s="16" t="str">
        <f t="shared" si="4"/>
        <v>Single</v>
      </c>
      <c r="D135" t="s">
        <v>34</v>
      </c>
      <c r="E135" s="16" t="str">
        <f t="shared" si="5"/>
        <v>Male</v>
      </c>
      <c r="F135" s="1">
        <v>40000</v>
      </c>
      <c r="G135">
        <v>2</v>
      </c>
      <c r="H135" t="s">
        <v>13</v>
      </c>
      <c r="I135" t="s">
        <v>28</v>
      </c>
      <c r="J135" t="s">
        <v>15</v>
      </c>
      <c r="K135">
        <v>2</v>
      </c>
      <c r="L135" t="s">
        <v>23</v>
      </c>
      <c r="M135" t="s">
        <v>24</v>
      </c>
      <c r="N135">
        <v>65</v>
      </c>
      <c r="O135" t="s">
        <v>15</v>
      </c>
    </row>
    <row r="136" spans="1:15" x14ac:dyDescent="0.2">
      <c r="A136">
        <v>21094</v>
      </c>
      <c r="B136" t="s">
        <v>35</v>
      </c>
      <c r="C136" s="16" t="str">
        <f t="shared" si="4"/>
        <v>Single</v>
      </c>
      <c r="D136" t="s">
        <v>33</v>
      </c>
      <c r="E136" s="16" t="str">
        <f t="shared" si="5"/>
        <v>Female</v>
      </c>
      <c r="F136" s="1">
        <v>30000</v>
      </c>
      <c r="G136">
        <v>2</v>
      </c>
      <c r="H136" t="s">
        <v>19</v>
      </c>
      <c r="I136" t="s">
        <v>20</v>
      </c>
      <c r="J136" t="s">
        <v>15</v>
      </c>
      <c r="K136">
        <v>2</v>
      </c>
      <c r="L136" t="s">
        <v>16</v>
      </c>
      <c r="M136" t="s">
        <v>17</v>
      </c>
      <c r="N136">
        <v>42</v>
      </c>
      <c r="O136" t="s">
        <v>18</v>
      </c>
    </row>
    <row r="137" spans="1:15" x14ac:dyDescent="0.2">
      <c r="A137">
        <v>12234</v>
      </c>
      <c r="B137" t="s">
        <v>34</v>
      </c>
      <c r="C137" s="16" t="str">
        <f t="shared" si="4"/>
        <v>Married</v>
      </c>
      <c r="D137" t="s">
        <v>34</v>
      </c>
      <c r="E137" s="16" t="str">
        <f t="shared" si="5"/>
        <v>Male</v>
      </c>
      <c r="F137" s="1">
        <v>10000</v>
      </c>
      <c r="G137">
        <v>2</v>
      </c>
      <c r="H137" t="s">
        <v>19</v>
      </c>
      <c r="I137" t="s">
        <v>25</v>
      </c>
      <c r="J137" t="s">
        <v>15</v>
      </c>
      <c r="K137">
        <v>1</v>
      </c>
      <c r="L137" t="s">
        <v>22</v>
      </c>
      <c r="M137" t="s">
        <v>17</v>
      </c>
      <c r="N137">
        <v>52</v>
      </c>
      <c r="O137" t="s">
        <v>18</v>
      </c>
    </row>
    <row r="138" spans="1:15" x14ac:dyDescent="0.2">
      <c r="A138">
        <v>28683</v>
      </c>
      <c r="B138" t="s">
        <v>35</v>
      </c>
      <c r="C138" s="16" t="str">
        <f t="shared" si="4"/>
        <v>Single</v>
      </c>
      <c r="D138" t="s">
        <v>33</v>
      </c>
      <c r="E138" s="16" t="str">
        <f t="shared" si="5"/>
        <v>Female</v>
      </c>
      <c r="F138" s="1">
        <v>10000</v>
      </c>
      <c r="G138">
        <v>1</v>
      </c>
      <c r="H138" t="s">
        <v>27</v>
      </c>
      <c r="I138" t="s">
        <v>25</v>
      </c>
      <c r="J138" t="s">
        <v>18</v>
      </c>
      <c r="K138">
        <v>1</v>
      </c>
      <c r="L138" t="s">
        <v>23</v>
      </c>
      <c r="M138" t="s">
        <v>17</v>
      </c>
      <c r="N138">
        <v>35</v>
      </c>
      <c r="O138" t="s">
        <v>15</v>
      </c>
    </row>
    <row r="139" spans="1:15" x14ac:dyDescent="0.2">
      <c r="A139">
        <v>17994</v>
      </c>
      <c r="B139" t="s">
        <v>35</v>
      </c>
      <c r="C139" s="16" t="str">
        <f t="shared" si="4"/>
        <v>Single</v>
      </c>
      <c r="D139" t="s">
        <v>34</v>
      </c>
      <c r="E139" s="16" t="str">
        <f t="shared" si="5"/>
        <v>Male</v>
      </c>
      <c r="F139" s="1">
        <v>20000</v>
      </c>
      <c r="G139">
        <v>2</v>
      </c>
      <c r="H139" t="s">
        <v>27</v>
      </c>
      <c r="I139" t="s">
        <v>25</v>
      </c>
      <c r="J139" t="s">
        <v>15</v>
      </c>
      <c r="K139">
        <v>2</v>
      </c>
      <c r="L139" t="s">
        <v>16</v>
      </c>
      <c r="M139" t="s">
        <v>17</v>
      </c>
      <c r="N139">
        <v>42</v>
      </c>
      <c r="O139" t="s">
        <v>18</v>
      </c>
    </row>
    <row r="140" spans="1:15" x14ac:dyDescent="0.2">
      <c r="A140">
        <v>24273</v>
      </c>
      <c r="B140" t="s">
        <v>34</v>
      </c>
      <c r="C140" s="16" t="str">
        <f t="shared" si="4"/>
        <v>Married</v>
      </c>
      <c r="D140" t="s">
        <v>33</v>
      </c>
      <c r="E140" s="16" t="str">
        <f t="shared" si="5"/>
        <v>Female</v>
      </c>
      <c r="F140" s="1">
        <v>20000</v>
      </c>
      <c r="G140">
        <v>2</v>
      </c>
      <c r="H140" t="s">
        <v>29</v>
      </c>
      <c r="I140" t="s">
        <v>20</v>
      </c>
      <c r="J140" t="s">
        <v>15</v>
      </c>
      <c r="K140">
        <v>2</v>
      </c>
      <c r="L140" t="s">
        <v>23</v>
      </c>
      <c r="M140" t="s">
        <v>24</v>
      </c>
      <c r="N140">
        <v>55</v>
      </c>
      <c r="O140" t="s">
        <v>15</v>
      </c>
    </row>
    <row r="141" spans="1:15" x14ac:dyDescent="0.2">
      <c r="A141">
        <v>26547</v>
      </c>
      <c r="B141" t="s">
        <v>35</v>
      </c>
      <c r="C141" s="16" t="str">
        <f t="shared" si="4"/>
        <v>Single</v>
      </c>
      <c r="D141" t="s">
        <v>33</v>
      </c>
      <c r="E141" s="16" t="str">
        <f t="shared" si="5"/>
        <v>Female</v>
      </c>
      <c r="F141" s="1">
        <v>30000</v>
      </c>
      <c r="G141">
        <v>2</v>
      </c>
      <c r="H141" t="s">
        <v>19</v>
      </c>
      <c r="I141" t="s">
        <v>20</v>
      </c>
      <c r="J141" t="s">
        <v>18</v>
      </c>
      <c r="K141">
        <v>2</v>
      </c>
      <c r="L141" t="s">
        <v>23</v>
      </c>
      <c r="M141" t="s">
        <v>24</v>
      </c>
      <c r="N141">
        <v>60</v>
      </c>
      <c r="O141" t="s">
        <v>15</v>
      </c>
    </row>
    <row r="142" spans="1:15" x14ac:dyDescent="0.2">
      <c r="A142">
        <v>22500</v>
      </c>
      <c r="B142" t="s">
        <v>35</v>
      </c>
      <c r="C142" s="16" t="str">
        <f t="shared" si="4"/>
        <v>Single</v>
      </c>
      <c r="D142" t="s">
        <v>34</v>
      </c>
      <c r="E142" s="16" t="str">
        <f t="shared" si="5"/>
        <v>Male</v>
      </c>
      <c r="F142" s="1">
        <v>40000</v>
      </c>
      <c r="G142">
        <v>0</v>
      </c>
      <c r="H142" t="s">
        <v>13</v>
      </c>
      <c r="I142" t="s">
        <v>21</v>
      </c>
      <c r="J142" t="s">
        <v>18</v>
      </c>
      <c r="K142">
        <v>0</v>
      </c>
      <c r="L142" t="s">
        <v>16</v>
      </c>
      <c r="M142" t="s">
        <v>17</v>
      </c>
      <c r="N142">
        <v>40</v>
      </c>
      <c r="O142" t="s">
        <v>15</v>
      </c>
    </row>
    <row r="143" spans="1:15" x14ac:dyDescent="0.2">
      <c r="A143">
        <v>23993</v>
      </c>
      <c r="B143" t="s">
        <v>35</v>
      </c>
      <c r="C143" s="16" t="str">
        <f t="shared" si="4"/>
        <v>Single</v>
      </c>
      <c r="D143" t="s">
        <v>33</v>
      </c>
      <c r="E143" s="16" t="str">
        <f t="shared" si="5"/>
        <v>Female</v>
      </c>
      <c r="F143" s="1">
        <v>10000</v>
      </c>
      <c r="G143">
        <v>0</v>
      </c>
      <c r="H143" t="s">
        <v>19</v>
      </c>
      <c r="I143" t="s">
        <v>25</v>
      </c>
      <c r="J143" t="s">
        <v>18</v>
      </c>
      <c r="K143">
        <v>1</v>
      </c>
      <c r="L143" t="s">
        <v>16</v>
      </c>
      <c r="M143" t="s">
        <v>24</v>
      </c>
      <c r="N143">
        <v>26</v>
      </c>
      <c r="O143" t="s">
        <v>15</v>
      </c>
    </row>
    <row r="144" spans="1:15" x14ac:dyDescent="0.2">
      <c r="A144">
        <v>14832</v>
      </c>
      <c r="B144" t="s">
        <v>34</v>
      </c>
      <c r="C144" s="16" t="str">
        <f t="shared" si="4"/>
        <v>Married</v>
      </c>
      <c r="D144" t="s">
        <v>34</v>
      </c>
      <c r="E144" s="16" t="str">
        <f t="shared" si="5"/>
        <v>Male</v>
      </c>
      <c r="F144" s="1">
        <v>40000</v>
      </c>
      <c r="G144">
        <v>1</v>
      </c>
      <c r="H144" t="s">
        <v>13</v>
      </c>
      <c r="I144" t="s">
        <v>14</v>
      </c>
      <c r="J144" t="s">
        <v>15</v>
      </c>
      <c r="K144">
        <v>0</v>
      </c>
      <c r="L144" t="s">
        <v>16</v>
      </c>
      <c r="M144" t="s">
        <v>17</v>
      </c>
      <c r="N144">
        <v>42</v>
      </c>
      <c r="O144" t="s">
        <v>15</v>
      </c>
    </row>
    <row r="145" spans="1:15" x14ac:dyDescent="0.2">
      <c r="A145">
        <v>16614</v>
      </c>
      <c r="B145" t="s">
        <v>34</v>
      </c>
      <c r="C145" s="16" t="str">
        <f t="shared" si="4"/>
        <v>Married</v>
      </c>
      <c r="D145" t="s">
        <v>33</v>
      </c>
      <c r="E145" s="16" t="str">
        <f t="shared" si="5"/>
        <v>Female</v>
      </c>
      <c r="F145" s="1">
        <v>80000</v>
      </c>
      <c r="G145">
        <v>0</v>
      </c>
      <c r="H145" t="s">
        <v>13</v>
      </c>
      <c r="I145" t="s">
        <v>21</v>
      </c>
      <c r="J145" t="s">
        <v>15</v>
      </c>
      <c r="K145">
        <v>3</v>
      </c>
      <c r="L145" t="s">
        <v>30</v>
      </c>
      <c r="M145" t="s">
        <v>24</v>
      </c>
      <c r="N145">
        <v>32</v>
      </c>
      <c r="O145" t="s">
        <v>18</v>
      </c>
    </row>
    <row r="146" spans="1:15" x14ac:dyDescent="0.2">
      <c r="A146">
        <v>20877</v>
      </c>
      <c r="B146" t="s">
        <v>35</v>
      </c>
      <c r="C146" s="16" t="str">
        <f t="shared" si="4"/>
        <v>Single</v>
      </c>
      <c r="D146" t="s">
        <v>34</v>
      </c>
      <c r="E146" s="16" t="str">
        <f t="shared" si="5"/>
        <v>Male</v>
      </c>
      <c r="F146" s="1">
        <v>30000</v>
      </c>
      <c r="G146">
        <v>1</v>
      </c>
      <c r="H146" t="s">
        <v>13</v>
      </c>
      <c r="I146" t="s">
        <v>20</v>
      </c>
      <c r="J146" t="s">
        <v>15</v>
      </c>
      <c r="K146">
        <v>0</v>
      </c>
      <c r="L146" t="s">
        <v>26</v>
      </c>
      <c r="M146" t="s">
        <v>17</v>
      </c>
      <c r="N146">
        <v>37</v>
      </c>
      <c r="O146" t="s">
        <v>15</v>
      </c>
    </row>
    <row r="147" spans="1:15" x14ac:dyDescent="0.2">
      <c r="A147">
        <v>20729</v>
      </c>
      <c r="B147" t="s">
        <v>34</v>
      </c>
      <c r="C147" s="16" t="str">
        <f t="shared" si="4"/>
        <v>Married</v>
      </c>
      <c r="D147" t="s">
        <v>33</v>
      </c>
      <c r="E147" s="16" t="str">
        <f t="shared" si="5"/>
        <v>Female</v>
      </c>
      <c r="F147" s="1">
        <v>40000</v>
      </c>
      <c r="G147">
        <v>2</v>
      </c>
      <c r="H147" t="s">
        <v>19</v>
      </c>
      <c r="I147" t="s">
        <v>20</v>
      </c>
      <c r="J147" t="s">
        <v>18</v>
      </c>
      <c r="K147">
        <v>1</v>
      </c>
      <c r="L147" t="s">
        <v>16</v>
      </c>
      <c r="M147" t="s">
        <v>17</v>
      </c>
      <c r="N147">
        <v>34</v>
      </c>
      <c r="O147" t="s">
        <v>18</v>
      </c>
    </row>
    <row r="148" spans="1:15" x14ac:dyDescent="0.2">
      <c r="A148">
        <v>22464</v>
      </c>
      <c r="B148" t="s">
        <v>34</v>
      </c>
      <c r="C148" s="16" t="str">
        <f t="shared" si="4"/>
        <v>Married</v>
      </c>
      <c r="D148" t="s">
        <v>34</v>
      </c>
      <c r="E148" s="16" t="str">
        <f t="shared" si="5"/>
        <v>Male</v>
      </c>
      <c r="F148" s="1">
        <v>40000</v>
      </c>
      <c r="G148">
        <v>0</v>
      </c>
      <c r="H148" t="s">
        <v>31</v>
      </c>
      <c r="I148" t="s">
        <v>20</v>
      </c>
      <c r="J148" t="s">
        <v>15</v>
      </c>
      <c r="K148">
        <v>0</v>
      </c>
      <c r="L148" t="s">
        <v>16</v>
      </c>
      <c r="M148" t="s">
        <v>17</v>
      </c>
      <c r="N148">
        <v>37</v>
      </c>
      <c r="O148" t="s">
        <v>15</v>
      </c>
    </row>
    <row r="149" spans="1:15" x14ac:dyDescent="0.2">
      <c r="A149">
        <v>19475</v>
      </c>
      <c r="B149" t="s">
        <v>34</v>
      </c>
      <c r="C149" s="16" t="str">
        <f t="shared" si="4"/>
        <v>Married</v>
      </c>
      <c r="D149" t="s">
        <v>33</v>
      </c>
      <c r="E149" s="16" t="str">
        <f t="shared" si="5"/>
        <v>Female</v>
      </c>
      <c r="F149" s="1">
        <v>40000</v>
      </c>
      <c r="G149">
        <v>0</v>
      </c>
      <c r="H149" t="s">
        <v>13</v>
      </c>
      <c r="I149" t="s">
        <v>21</v>
      </c>
      <c r="J149" t="s">
        <v>18</v>
      </c>
      <c r="K149">
        <v>0</v>
      </c>
      <c r="L149" t="s">
        <v>16</v>
      </c>
      <c r="M149" t="s">
        <v>17</v>
      </c>
      <c r="N149">
        <v>40</v>
      </c>
      <c r="O149" t="s">
        <v>15</v>
      </c>
    </row>
    <row r="150" spans="1:15" x14ac:dyDescent="0.2">
      <c r="A150">
        <v>19675</v>
      </c>
      <c r="B150" t="s">
        <v>34</v>
      </c>
      <c r="C150" s="16" t="str">
        <f t="shared" si="4"/>
        <v>Married</v>
      </c>
      <c r="D150" t="s">
        <v>34</v>
      </c>
      <c r="E150" s="16" t="str">
        <f t="shared" si="5"/>
        <v>Male</v>
      </c>
      <c r="F150" s="1">
        <v>20000</v>
      </c>
      <c r="G150">
        <v>4</v>
      </c>
      <c r="H150" t="s">
        <v>27</v>
      </c>
      <c r="I150" t="s">
        <v>14</v>
      </c>
      <c r="J150" t="s">
        <v>15</v>
      </c>
      <c r="K150">
        <v>2</v>
      </c>
      <c r="L150" t="s">
        <v>23</v>
      </c>
      <c r="M150" t="s">
        <v>24</v>
      </c>
      <c r="N150">
        <v>60</v>
      </c>
      <c r="O150" t="s">
        <v>18</v>
      </c>
    </row>
    <row r="151" spans="1:15" x14ac:dyDescent="0.2">
      <c r="A151">
        <v>12728</v>
      </c>
      <c r="B151" t="s">
        <v>35</v>
      </c>
      <c r="C151" s="16" t="str">
        <f t="shared" si="4"/>
        <v>Single</v>
      </c>
      <c r="D151" t="s">
        <v>34</v>
      </c>
      <c r="E151" s="16" t="str">
        <f t="shared" si="5"/>
        <v>Male</v>
      </c>
      <c r="F151" s="1">
        <v>30000</v>
      </c>
      <c r="G151">
        <v>0</v>
      </c>
      <c r="H151" t="s">
        <v>19</v>
      </c>
      <c r="I151" t="s">
        <v>20</v>
      </c>
      <c r="J151" t="s">
        <v>18</v>
      </c>
      <c r="K151">
        <v>1</v>
      </c>
      <c r="L151" t="s">
        <v>26</v>
      </c>
      <c r="M151" t="s">
        <v>17</v>
      </c>
      <c r="N151">
        <v>27</v>
      </c>
      <c r="O151" t="s">
        <v>18</v>
      </c>
    </row>
    <row r="152" spans="1:15" x14ac:dyDescent="0.2">
      <c r="A152">
        <v>26154</v>
      </c>
      <c r="B152" t="s">
        <v>34</v>
      </c>
      <c r="C152" s="16" t="str">
        <f t="shared" si="4"/>
        <v>Married</v>
      </c>
      <c r="D152" t="s">
        <v>34</v>
      </c>
      <c r="E152" s="16" t="str">
        <f t="shared" si="5"/>
        <v>Male</v>
      </c>
      <c r="F152" s="1">
        <v>60000</v>
      </c>
      <c r="G152">
        <v>1</v>
      </c>
      <c r="H152" t="s">
        <v>19</v>
      </c>
      <c r="I152" t="s">
        <v>14</v>
      </c>
      <c r="J152" t="s">
        <v>15</v>
      </c>
      <c r="K152">
        <v>1</v>
      </c>
      <c r="L152" t="s">
        <v>23</v>
      </c>
      <c r="M152" t="s">
        <v>24</v>
      </c>
      <c r="N152">
        <v>43</v>
      </c>
      <c r="O152" t="s">
        <v>15</v>
      </c>
    </row>
    <row r="153" spans="1:15" x14ac:dyDescent="0.2">
      <c r="A153">
        <v>29117</v>
      </c>
      <c r="B153" t="s">
        <v>35</v>
      </c>
      <c r="C153" s="16" t="str">
        <f t="shared" si="4"/>
        <v>Single</v>
      </c>
      <c r="D153" t="s">
        <v>34</v>
      </c>
      <c r="E153" s="16" t="str">
        <f t="shared" si="5"/>
        <v>Male</v>
      </c>
      <c r="F153" s="1">
        <v>100000</v>
      </c>
      <c r="G153">
        <v>1</v>
      </c>
      <c r="H153" t="s">
        <v>13</v>
      </c>
      <c r="I153" t="s">
        <v>28</v>
      </c>
      <c r="J153" t="s">
        <v>18</v>
      </c>
      <c r="K153">
        <v>3</v>
      </c>
      <c r="L153" t="s">
        <v>16</v>
      </c>
      <c r="M153" t="s">
        <v>24</v>
      </c>
      <c r="N153">
        <v>48</v>
      </c>
      <c r="O153" t="s">
        <v>18</v>
      </c>
    </row>
    <row r="154" spans="1:15" x14ac:dyDescent="0.2">
      <c r="A154">
        <v>17845</v>
      </c>
      <c r="B154" t="s">
        <v>35</v>
      </c>
      <c r="C154" s="16" t="str">
        <f t="shared" si="4"/>
        <v>Single</v>
      </c>
      <c r="D154" t="s">
        <v>33</v>
      </c>
      <c r="E154" s="16" t="str">
        <f t="shared" si="5"/>
        <v>Female</v>
      </c>
      <c r="F154" s="1">
        <v>20000</v>
      </c>
      <c r="G154">
        <v>0</v>
      </c>
      <c r="H154" t="s">
        <v>29</v>
      </c>
      <c r="I154" t="s">
        <v>25</v>
      </c>
      <c r="J154" t="s">
        <v>18</v>
      </c>
      <c r="K154">
        <v>2</v>
      </c>
      <c r="L154" t="s">
        <v>26</v>
      </c>
      <c r="M154" t="s">
        <v>17</v>
      </c>
      <c r="N154">
        <v>32</v>
      </c>
      <c r="O154" t="s">
        <v>18</v>
      </c>
    </row>
    <row r="155" spans="1:15" x14ac:dyDescent="0.2">
      <c r="A155">
        <v>25058</v>
      </c>
      <c r="B155" t="s">
        <v>34</v>
      </c>
      <c r="C155" s="16" t="str">
        <f t="shared" si="4"/>
        <v>Married</v>
      </c>
      <c r="D155" t="s">
        <v>34</v>
      </c>
      <c r="E155" s="16" t="str">
        <f t="shared" si="5"/>
        <v>Male</v>
      </c>
      <c r="F155" s="1">
        <v>100000</v>
      </c>
      <c r="G155">
        <v>1</v>
      </c>
      <c r="H155" t="s">
        <v>13</v>
      </c>
      <c r="I155" t="s">
        <v>28</v>
      </c>
      <c r="J155" t="s">
        <v>15</v>
      </c>
      <c r="K155">
        <v>3</v>
      </c>
      <c r="L155" t="s">
        <v>22</v>
      </c>
      <c r="M155" t="s">
        <v>24</v>
      </c>
      <c r="N155">
        <v>47</v>
      </c>
      <c r="O155" t="s">
        <v>18</v>
      </c>
    </row>
    <row r="156" spans="1:15" x14ac:dyDescent="0.2">
      <c r="A156">
        <v>23426</v>
      </c>
      <c r="B156" t="s">
        <v>35</v>
      </c>
      <c r="C156" s="16" t="str">
        <f t="shared" si="4"/>
        <v>Single</v>
      </c>
      <c r="D156" t="s">
        <v>34</v>
      </c>
      <c r="E156" s="16" t="str">
        <f t="shared" si="5"/>
        <v>Male</v>
      </c>
      <c r="F156" s="1">
        <v>80000</v>
      </c>
      <c r="G156">
        <v>5</v>
      </c>
      <c r="H156" t="s">
        <v>31</v>
      </c>
      <c r="I156" t="s">
        <v>28</v>
      </c>
      <c r="J156" t="s">
        <v>15</v>
      </c>
      <c r="K156">
        <v>3</v>
      </c>
      <c r="L156" t="s">
        <v>16</v>
      </c>
      <c r="M156" t="s">
        <v>24</v>
      </c>
      <c r="N156">
        <v>40</v>
      </c>
      <c r="O156" t="s">
        <v>18</v>
      </c>
    </row>
    <row r="157" spans="1:15" x14ac:dyDescent="0.2">
      <c r="A157">
        <v>14798</v>
      </c>
      <c r="B157" t="s">
        <v>35</v>
      </c>
      <c r="C157" s="16" t="str">
        <f t="shared" si="4"/>
        <v>Single</v>
      </c>
      <c r="D157" t="s">
        <v>33</v>
      </c>
      <c r="E157" s="16" t="str">
        <f t="shared" si="5"/>
        <v>Female</v>
      </c>
      <c r="F157" s="1">
        <v>10000</v>
      </c>
      <c r="G157">
        <v>4</v>
      </c>
      <c r="H157" t="s">
        <v>29</v>
      </c>
      <c r="I157" t="s">
        <v>25</v>
      </c>
      <c r="J157" t="s">
        <v>15</v>
      </c>
      <c r="K157">
        <v>2</v>
      </c>
      <c r="L157" t="s">
        <v>16</v>
      </c>
      <c r="M157" t="s">
        <v>17</v>
      </c>
      <c r="N157">
        <v>41</v>
      </c>
      <c r="O157" t="s">
        <v>15</v>
      </c>
    </row>
    <row r="158" spans="1:15" x14ac:dyDescent="0.2">
      <c r="A158">
        <v>12664</v>
      </c>
      <c r="B158" t="s">
        <v>34</v>
      </c>
      <c r="C158" s="16" t="str">
        <f t="shared" si="4"/>
        <v>Married</v>
      </c>
      <c r="D158" t="s">
        <v>33</v>
      </c>
      <c r="E158" s="16" t="str">
        <f t="shared" si="5"/>
        <v>Female</v>
      </c>
      <c r="F158" s="1">
        <v>130000</v>
      </c>
      <c r="G158">
        <v>5</v>
      </c>
      <c r="H158" t="s">
        <v>19</v>
      </c>
      <c r="I158" t="s">
        <v>21</v>
      </c>
      <c r="J158" t="s">
        <v>15</v>
      </c>
      <c r="K158">
        <v>4</v>
      </c>
      <c r="L158" t="s">
        <v>16</v>
      </c>
      <c r="M158" t="s">
        <v>17</v>
      </c>
      <c r="N158">
        <v>59</v>
      </c>
      <c r="O158" t="s">
        <v>18</v>
      </c>
    </row>
    <row r="159" spans="1:15" x14ac:dyDescent="0.2">
      <c r="A159">
        <v>23979</v>
      </c>
      <c r="B159" t="s">
        <v>35</v>
      </c>
      <c r="C159" s="16" t="str">
        <f t="shared" si="4"/>
        <v>Single</v>
      </c>
      <c r="D159" t="s">
        <v>34</v>
      </c>
      <c r="E159" s="16" t="str">
        <f t="shared" si="5"/>
        <v>Male</v>
      </c>
      <c r="F159" s="1">
        <v>10000</v>
      </c>
      <c r="G159">
        <v>2</v>
      </c>
      <c r="H159" t="s">
        <v>19</v>
      </c>
      <c r="I159" t="s">
        <v>25</v>
      </c>
      <c r="J159" t="s">
        <v>18</v>
      </c>
      <c r="K159">
        <v>0</v>
      </c>
      <c r="L159" t="s">
        <v>16</v>
      </c>
      <c r="M159" t="s">
        <v>17</v>
      </c>
      <c r="N159">
        <v>50</v>
      </c>
      <c r="O159" t="s">
        <v>18</v>
      </c>
    </row>
    <row r="160" spans="1:15" x14ac:dyDescent="0.2">
      <c r="A160">
        <v>25605</v>
      </c>
      <c r="B160" t="s">
        <v>35</v>
      </c>
      <c r="C160" s="16" t="str">
        <f t="shared" si="4"/>
        <v>Single</v>
      </c>
      <c r="D160" t="s">
        <v>33</v>
      </c>
      <c r="E160" s="16" t="str">
        <f t="shared" si="5"/>
        <v>Female</v>
      </c>
      <c r="F160" s="1">
        <v>20000</v>
      </c>
      <c r="G160">
        <v>2</v>
      </c>
      <c r="H160" t="s">
        <v>19</v>
      </c>
      <c r="I160" t="s">
        <v>25</v>
      </c>
      <c r="J160" t="s">
        <v>18</v>
      </c>
      <c r="K160">
        <v>1</v>
      </c>
      <c r="L160" t="s">
        <v>16</v>
      </c>
      <c r="M160" t="s">
        <v>17</v>
      </c>
      <c r="N160">
        <v>54</v>
      </c>
      <c r="O160" t="s">
        <v>15</v>
      </c>
    </row>
    <row r="161" spans="1:15" x14ac:dyDescent="0.2">
      <c r="A161">
        <v>20797</v>
      </c>
      <c r="B161" t="s">
        <v>34</v>
      </c>
      <c r="C161" s="16" t="str">
        <f t="shared" si="4"/>
        <v>Married</v>
      </c>
      <c r="D161" t="s">
        <v>33</v>
      </c>
      <c r="E161" s="16" t="str">
        <f t="shared" si="5"/>
        <v>Female</v>
      </c>
      <c r="F161" s="1">
        <v>10000</v>
      </c>
      <c r="G161">
        <v>1</v>
      </c>
      <c r="H161" t="s">
        <v>13</v>
      </c>
      <c r="I161" t="s">
        <v>25</v>
      </c>
      <c r="J161" t="s">
        <v>15</v>
      </c>
      <c r="K161">
        <v>0</v>
      </c>
      <c r="L161" t="s">
        <v>16</v>
      </c>
      <c r="M161" t="s">
        <v>17</v>
      </c>
      <c r="N161">
        <v>48</v>
      </c>
      <c r="O161" t="s">
        <v>18</v>
      </c>
    </row>
    <row r="162" spans="1:15" x14ac:dyDescent="0.2">
      <c r="A162">
        <v>21980</v>
      </c>
      <c r="B162" t="s">
        <v>35</v>
      </c>
      <c r="C162" s="16" t="str">
        <f t="shared" si="4"/>
        <v>Single</v>
      </c>
      <c r="D162" t="s">
        <v>33</v>
      </c>
      <c r="E162" s="16" t="str">
        <f t="shared" si="5"/>
        <v>Female</v>
      </c>
      <c r="F162" s="1">
        <v>60000</v>
      </c>
      <c r="G162">
        <v>1</v>
      </c>
      <c r="H162" t="s">
        <v>13</v>
      </c>
      <c r="I162" t="s">
        <v>21</v>
      </c>
      <c r="J162" t="s">
        <v>15</v>
      </c>
      <c r="K162">
        <v>1</v>
      </c>
      <c r="L162" t="s">
        <v>23</v>
      </c>
      <c r="M162" t="s">
        <v>24</v>
      </c>
      <c r="N162">
        <v>44</v>
      </c>
      <c r="O162" t="s">
        <v>15</v>
      </c>
    </row>
    <row r="163" spans="1:15" x14ac:dyDescent="0.2">
      <c r="A163">
        <v>25460</v>
      </c>
      <c r="B163" t="s">
        <v>34</v>
      </c>
      <c r="C163" s="16" t="str">
        <f t="shared" si="4"/>
        <v>Married</v>
      </c>
      <c r="D163" t="s">
        <v>33</v>
      </c>
      <c r="E163" s="16" t="str">
        <f t="shared" si="5"/>
        <v>Female</v>
      </c>
      <c r="F163" s="1">
        <v>20000</v>
      </c>
      <c r="G163">
        <v>2</v>
      </c>
      <c r="H163" t="s">
        <v>27</v>
      </c>
      <c r="I163" t="s">
        <v>25</v>
      </c>
      <c r="J163" t="s">
        <v>15</v>
      </c>
      <c r="K163">
        <v>0</v>
      </c>
      <c r="L163" t="s">
        <v>16</v>
      </c>
      <c r="M163" t="s">
        <v>17</v>
      </c>
      <c r="N163">
        <v>40</v>
      </c>
      <c r="O163" t="s">
        <v>15</v>
      </c>
    </row>
    <row r="164" spans="1:15" x14ac:dyDescent="0.2">
      <c r="A164">
        <v>29181</v>
      </c>
      <c r="B164" t="s">
        <v>35</v>
      </c>
      <c r="C164" s="16" t="str">
        <f t="shared" si="4"/>
        <v>Single</v>
      </c>
      <c r="D164" t="s">
        <v>33</v>
      </c>
      <c r="E164" s="16" t="str">
        <f t="shared" si="5"/>
        <v>Female</v>
      </c>
      <c r="F164" s="1">
        <v>60000</v>
      </c>
      <c r="G164">
        <v>2</v>
      </c>
      <c r="H164" t="s">
        <v>13</v>
      </c>
      <c r="I164" t="s">
        <v>21</v>
      </c>
      <c r="J164" t="s">
        <v>18</v>
      </c>
      <c r="K164">
        <v>1</v>
      </c>
      <c r="L164" t="s">
        <v>16</v>
      </c>
      <c r="M164" t="s">
        <v>24</v>
      </c>
      <c r="N164">
        <v>38</v>
      </c>
      <c r="O164" t="s">
        <v>15</v>
      </c>
    </row>
    <row r="165" spans="1:15" x14ac:dyDescent="0.2">
      <c r="A165">
        <v>24279</v>
      </c>
      <c r="B165" t="s">
        <v>35</v>
      </c>
      <c r="C165" s="16" t="str">
        <f t="shared" si="4"/>
        <v>Single</v>
      </c>
      <c r="D165" t="s">
        <v>34</v>
      </c>
      <c r="E165" s="16" t="str">
        <f t="shared" si="5"/>
        <v>Male</v>
      </c>
      <c r="F165" s="1">
        <v>40000</v>
      </c>
      <c r="G165">
        <v>2</v>
      </c>
      <c r="H165" t="s">
        <v>19</v>
      </c>
      <c r="I165" t="s">
        <v>14</v>
      </c>
      <c r="J165" t="s">
        <v>18</v>
      </c>
      <c r="K165">
        <v>2</v>
      </c>
      <c r="L165" t="s">
        <v>26</v>
      </c>
      <c r="M165" t="s">
        <v>24</v>
      </c>
      <c r="N165">
        <v>52</v>
      </c>
      <c r="O165" t="s">
        <v>18</v>
      </c>
    </row>
    <row r="166" spans="1:15" x14ac:dyDescent="0.2">
      <c r="A166">
        <v>22402</v>
      </c>
      <c r="B166" t="s">
        <v>34</v>
      </c>
      <c r="C166" s="16" t="str">
        <f t="shared" si="4"/>
        <v>Married</v>
      </c>
      <c r="D166" t="s">
        <v>34</v>
      </c>
      <c r="E166" s="16" t="str">
        <f t="shared" si="5"/>
        <v>Male</v>
      </c>
      <c r="F166" s="1">
        <v>10000</v>
      </c>
      <c r="G166">
        <v>0</v>
      </c>
      <c r="H166" t="s">
        <v>19</v>
      </c>
      <c r="I166" t="s">
        <v>25</v>
      </c>
      <c r="J166" t="s">
        <v>15</v>
      </c>
      <c r="K166">
        <v>1</v>
      </c>
      <c r="L166" t="s">
        <v>22</v>
      </c>
      <c r="M166" t="s">
        <v>24</v>
      </c>
      <c r="N166">
        <v>25</v>
      </c>
      <c r="O166" t="s">
        <v>15</v>
      </c>
    </row>
    <row r="167" spans="1:15" x14ac:dyDescent="0.2">
      <c r="A167">
        <v>15465</v>
      </c>
      <c r="B167" t="s">
        <v>34</v>
      </c>
      <c r="C167" s="16" t="str">
        <f t="shared" si="4"/>
        <v>Married</v>
      </c>
      <c r="D167" t="s">
        <v>33</v>
      </c>
      <c r="E167" s="16" t="str">
        <f t="shared" si="5"/>
        <v>Female</v>
      </c>
      <c r="F167" s="1">
        <v>10000</v>
      </c>
      <c r="G167">
        <v>0</v>
      </c>
      <c r="H167" t="s">
        <v>19</v>
      </c>
      <c r="I167" t="s">
        <v>25</v>
      </c>
      <c r="J167" t="s">
        <v>18</v>
      </c>
      <c r="K167">
        <v>1</v>
      </c>
      <c r="L167" t="s">
        <v>16</v>
      </c>
      <c r="M167" t="s">
        <v>24</v>
      </c>
      <c r="N167">
        <v>25</v>
      </c>
      <c r="O167" t="s">
        <v>18</v>
      </c>
    </row>
    <row r="168" spans="1:15" x14ac:dyDescent="0.2">
      <c r="A168">
        <v>26757</v>
      </c>
      <c r="B168" t="s">
        <v>35</v>
      </c>
      <c r="C168" s="16" t="str">
        <f t="shared" si="4"/>
        <v>Single</v>
      </c>
      <c r="D168" t="s">
        <v>34</v>
      </c>
      <c r="E168" s="16" t="str">
        <f t="shared" si="5"/>
        <v>Male</v>
      </c>
      <c r="F168" s="1">
        <v>90000</v>
      </c>
      <c r="G168">
        <v>1</v>
      </c>
      <c r="H168" t="s">
        <v>13</v>
      </c>
      <c r="I168" t="s">
        <v>21</v>
      </c>
      <c r="J168" t="s">
        <v>15</v>
      </c>
      <c r="K168">
        <v>1</v>
      </c>
      <c r="L168" t="s">
        <v>22</v>
      </c>
      <c r="M168" t="s">
        <v>24</v>
      </c>
      <c r="N168">
        <v>47</v>
      </c>
      <c r="O168" t="s">
        <v>15</v>
      </c>
    </row>
    <row r="169" spans="1:15" x14ac:dyDescent="0.2">
      <c r="A169">
        <v>14233</v>
      </c>
      <c r="B169" t="s">
        <v>35</v>
      </c>
      <c r="C169" s="16" t="str">
        <f t="shared" si="4"/>
        <v>Single</v>
      </c>
      <c r="D169" t="s">
        <v>34</v>
      </c>
      <c r="E169" s="16" t="str">
        <f t="shared" si="5"/>
        <v>Male</v>
      </c>
      <c r="F169" s="1">
        <v>100000</v>
      </c>
      <c r="G169">
        <v>0</v>
      </c>
      <c r="H169" t="s">
        <v>27</v>
      </c>
      <c r="I169" t="s">
        <v>28</v>
      </c>
      <c r="J169" t="s">
        <v>15</v>
      </c>
      <c r="K169">
        <v>3</v>
      </c>
      <c r="L169" t="s">
        <v>30</v>
      </c>
      <c r="M169" t="s">
        <v>24</v>
      </c>
      <c r="N169">
        <v>35</v>
      </c>
      <c r="O169" t="s">
        <v>18</v>
      </c>
    </row>
    <row r="170" spans="1:15" x14ac:dyDescent="0.2">
      <c r="A170">
        <v>14058</v>
      </c>
      <c r="B170" t="s">
        <v>35</v>
      </c>
      <c r="C170" s="16" t="str">
        <f t="shared" si="4"/>
        <v>Single</v>
      </c>
      <c r="D170" t="s">
        <v>34</v>
      </c>
      <c r="E170" s="16" t="str">
        <f t="shared" si="5"/>
        <v>Male</v>
      </c>
      <c r="F170" s="1">
        <v>70000</v>
      </c>
      <c r="G170">
        <v>0</v>
      </c>
      <c r="H170" t="s">
        <v>13</v>
      </c>
      <c r="I170" t="s">
        <v>21</v>
      </c>
      <c r="J170" t="s">
        <v>18</v>
      </c>
      <c r="K170">
        <v>1</v>
      </c>
      <c r="L170" t="s">
        <v>23</v>
      </c>
      <c r="M170" t="s">
        <v>24</v>
      </c>
      <c r="N170">
        <v>41</v>
      </c>
      <c r="O170" t="s">
        <v>15</v>
      </c>
    </row>
    <row r="171" spans="1:15" x14ac:dyDescent="0.2">
      <c r="A171">
        <v>12273</v>
      </c>
      <c r="B171" t="s">
        <v>34</v>
      </c>
      <c r="C171" s="16" t="str">
        <f t="shared" si="4"/>
        <v>Married</v>
      </c>
      <c r="D171" t="s">
        <v>34</v>
      </c>
      <c r="E171" s="16" t="str">
        <f t="shared" si="5"/>
        <v>Male</v>
      </c>
      <c r="F171" s="1">
        <v>30000</v>
      </c>
      <c r="G171">
        <v>1</v>
      </c>
      <c r="H171" t="s">
        <v>13</v>
      </c>
      <c r="I171" t="s">
        <v>20</v>
      </c>
      <c r="J171" t="s">
        <v>15</v>
      </c>
      <c r="K171">
        <v>0</v>
      </c>
      <c r="L171" t="s">
        <v>16</v>
      </c>
      <c r="M171" t="s">
        <v>17</v>
      </c>
      <c r="N171">
        <v>47</v>
      </c>
      <c r="O171" t="s">
        <v>18</v>
      </c>
    </row>
    <row r="172" spans="1:15" x14ac:dyDescent="0.2">
      <c r="A172">
        <v>17203</v>
      </c>
      <c r="B172" t="s">
        <v>34</v>
      </c>
      <c r="C172" s="16" t="str">
        <f t="shared" si="4"/>
        <v>Married</v>
      </c>
      <c r="D172" t="s">
        <v>33</v>
      </c>
      <c r="E172" s="16" t="str">
        <f t="shared" si="5"/>
        <v>Female</v>
      </c>
      <c r="F172" s="1">
        <v>130000</v>
      </c>
      <c r="G172">
        <v>4</v>
      </c>
      <c r="H172" t="s">
        <v>19</v>
      </c>
      <c r="I172" t="s">
        <v>21</v>
      </c>
      <c r="J172" t="s">
        <v>15</v>
      </c>
      <c r="K172">
        <v>4</v>
      </c>
      <c r="L172" t="s">
        <v>23</v>
      </c>
      <c r="M172" t="s">
        <v>17</v>
      </c>
      <c r="N172">
        <v>61</v>
      </c>
      <c r="O172" t="s">
        <v>15</v>
      </c>
    </row>
    <row r="173" spans="1:15" x14ac:dyDescent="0.2">
      <c r="A173">
        <v>18144</v>
      </c>
      <c r="B173" t="s">
        <v>34</v>
      </c>
      <c r="C173" s="16" t="str">
        <f t="shared" si="4"/>
        <v>Married</v>
      </c>
      <c r="D173" t="s">
        <v>33</v>
      </c>
      <c r="E173" s="16" t="str">
        <f t="shared" si="5"/>
        <v>Female</v>
      </c>
      <c r="F173" s="1">
        <v>80000</v>
      </c>
      <c r="G173">
        <v>5</v>
      </c>
      <c r="H173" t="s">
        <v>13</v>
      </c>
      <c r="I173" t="s">
        <v>28</v>
      </c>
      <c r="J173" t="s">
        <v>15</v>
      </c>
      <c r="K173">
        <v>2</v>
      </c>
      <c r="L173" t="s">
        <v>22</v>
      </c>
      <c r="M173" t="s">
        <v>17</v>
      </c>
      <c r="N173">
        <v>61</v>
      </c>
      <c r="O173" t="s">
        <v>18</v>
      </c>
    </row>
    <row r="174" spans="1:15" x14ac:dyDescent="0.2">
      <c r="A174">
        <v>23963</v>
      </c>
      <c r="B174" t="s">
        <v>34</v>
      </c>
      <c r="C174" s="16" t="str">
        <f t="shared" si="4"/>
        <v>Married</v>
      </c>
      <c r="D174" t="s">
        <v>34</v>
      </c>
      <c r="E174" s="16" t="str">
        <f t="shared" si="5"/>
        <v>Male</v>
      </c>
      <c r="F174" s="1">
        <v>10000</v>
      </c>
      <c r="G174">
        <v>0</v>
      </c>
      <c r="H174" t="s">
        <v>29</v>
      </c>
      <c r="I174" t="s">
        <v>25</v>
      </c>
      <c r="J174" t="s">
        <v>18</v>
      </c>
      <c r="K174">
        <v>2</v>
      </c>
      <c r="L174" t="s">
        <v>16</v>
      </c>
      <c r="M174" t="s">
        <v>17</v>
      </c>
      <c r="N174">
        <v>33</v>
      </c>
      <c r="O174" t="s">
        <v>18</v>
      </c>
    </row>
    <row r="175" spans="1:15" x14ac:dyDescent="0.2">
      <c r="A175">
        <v>17907</v>
      </c>
      <c r="B175" t="s">
        <v>34</v>
      </c>
      <c r="C175" s="16" t="str">
        <f t="shared" si="4"/>
        <v>Married</v>
      </c>
      <c r="D175" t="s">
        <v>33</v>
      </c>
      <c r="E175" s="16" t="str">
        <f t="shared" si="5"/>
        <v>Female</v>
      </c>
      <c r="F175" s="1">
        <v>10000</v>
      </c>
      <c r="G175">
        <v>0</v>
      </c>
      <c r="H175" t="s">
        <v>19</v>
      </c>
      <c r="I175" t="s">
        <v>25</v>
      </c>
      <c r="J175" t="s">
        <v>15</v>
      </c>
      <c r="K175">
        <v>1</v>
      </c>
      <c r="L175" t="s">
        <v>22</v>
      </c>
      <c r="M175" t="s">
        <v>24</v>
      </c>
      <c r="N175">
        <v>27</v>
      </c>
      <c r="O175" t="s">
        <v>18</v>
      </c>
    </row>
    <row r="176" spans="1:15" x14ac:dyDescent="0.2">
      <c r="A176">
        <v>19442</v>
      </c>
      <c r="B176" t="s">
        <v>35</v>
      </c>
      <c r="C176" s="16" t="str">
        <f t="shared" si="4"/>
        <v>Single</v>
      </c>
      <c r="D176" t="s">
        <v>34</v>
      </c>
      <c r="E176" s="16" t="str">
        <f t="shared" si="5"/>
        <v>Male</v>
      </c>
      <c r="F176" s="1">
        <v>50000</v>
      </c>
      <c r="G176">
        <v>0</v>
      </c>
      <c r="H176" t="s">
        <v>31</v>
      </c>
      <c r="I176" t="s">
        <v>14</v>
      </c>
      <c r="J176" t="s">
        <v>15</v>
      </c>
      <c r="K176">
        <v>0</v>
      </c>
      <c r="L176" t="s">
        <v>16</v>
      </c>
      <c r="M176" t="s">
        <v>17</v>
      </c>
      <c r="N176">
        <v>37</v>
      </c>
      <c r="O176" t="s">
        <v>15</v>
      </c>
    </row>
    <row r="177" spans="1:15" x14ac:dyDescent="0.2">
      <c r="A177">
        <v>17504</v>
      </c>
      <c r="B177" t="s">
        <v>35</v>
      </c>
      <c r="C177" s="16" t="str">
        <f t="shared" si="4"/>
        <v>Single</v>
      </c>
      <c r="D177" t="s">
        <v>33</v>
      </c>
      <c r="E177" s="16" t="str">
        <f t="shared" si="5"/>
        <v>Female</v>
      </c>
      <c r="F177" s="1">
        <v>80000</v>
      </c>
      <c r="G177">
        <v>2</v>
      </c>
      <c r="H177" t="s">
        <v>19</v>
      </c>
      <c r="I177" t="s">
        <v>14</v>
      </c>
      <c r="J177" t="s">
        <v>15</v>
      </c>
      <c r="K177">
        <v>2</v>
      </c>
      <c r="L177" t="s">
        <v>23</v>
      </c>
      <c r="M177" t="s">
        <v>24</v>
      </c>
      <c r="N177">
        <v>52</v>
      </c>
      <c r="O177" t="s">
        <v>15</v>
      </c>
    </row>
    <row r="178" spans="1:15" x14ac:dyDescent="0.2">
      <c r="A178">
        <v>12253</v>
      </c>
      <c r="B178" t="s">
        <v>35</v>
      </c>
      <c r="C178" s="16" t="str">
        <f t="shared" si="4"/>
        <v>Single</v>
      </c>
      <c r="D178" t="s">
        <v>33</v>
      </c>
      <c r="E178" s="16" t="str">
        <f t="shared" si="5"/>
        <v>Female</v>
      </c>
      <c r="F178" s="1">
        <v>20000</v>
      </c>
      <c r="G178">
        <v>0</v>
      </c>
      <c r="H178" t="s">
        <v>19</v>
      </c>
      <c r="I178" t="s">
        <v>25</v>
      </c>
      <c r="J178" t="s">
        <v>15</v>
      </c>
      <c r="K178">
        <v>0</v>
      </c>
      <c r="L178" t="s">
        <v>16</v>
      </c>
      <c r="M178" t="s">
        <v>24</v>
      </c>
      <c r="N178">
        <v>29</v>
      </c>
      <c r="O178" t="s">
        <v>15</v>
      </c>
    </row>
    <row r="179" spans="1:15" x14ac:dyDescent="0.2">
      <c r="A179">
        <v>27304</v>
      </c>
      <c r="B179" t="s">
        <v>35</v>
      </c>
      <c r="C179" s="16" t="str">
        <f t="shared" si="4"/>
        <v>Single</v>
      </c>
      <c r="D179" t="s">
        <v>33</v>
      </c>
      <c r="E179" s="16" t="str">
        <f t="shared" si="5"/>
        <v>Female</v>
      </c>
      <c r="F179" s="1">
        <v>110000</v>
      </c>
      <c r="G179">
        <v>2</v>
      </c>
      <c r="H179" t="s">
        <v>19</v>
      </c>
      <c r="I179" t="s">
        <v>21</v>
      </c>
      <c r="J179" t="s">
        <v>18</v>
      </c>
      <c r="K179">
        <v>3</v>
      </c>
      <c r="L179" t="s">
        <v>23</v>
      </c>
      <c r="M179" t="s">
        <v>17</v>
      </c>
      <c r="N179">
        <v>48</v>
      </c>
      <c r="O179" t="s">
        <v>18</v>
      </c>
    </row>
    <row r="180" spans="1:15" x14ac:dyDescent="0.2">
      <c r="A180">
        <v>14191</v>
      </c>
      <c r="B180" t="s">
        <v>34</v>
      </c>
      <c r="C180" s="16" t="str">
        <f t="shared" si="4"/>
        <v>Married</v>
      </c>
      <c r="D180" t="s">
        <v>34</v>
      </c>
      <c r="E180" s="16" t="str">
        <f t="shared" si="5"/>
        <v>Male</v>
      </c>
      <c r="F180" s="1">
        <v>160000</v>
      </c>
      <c r="G180">
        <v>4</v>
      </c>
      <c r="H180" t="s">
        <v>19</v>
      </c>
      <c r="I180" t="s">
        <v>21</v>
      </c>
      <c r="J180" t="s">
        <v>18</v>
      </c>
      <c r="K180">
        <v>2</v>
      </c>
      <c r="L180" t="s">
        <v>30</v>
      </c>
      <c r="M180" t="s">
        <v>17</v>
      </c>
      <c r="N180">
        <v>55</v>
      </c>
      <c r="O180" t="s">
        <v>15</v>
      </c>
    </row>
    <row r="181" spans="1:15" x14ac:dyDescent="0.2">
      <c r="A181">
        <v>12212</v>
      </c>
      <c r="B181" t="s">
        <v>34</v>
      </c>
      <c r="C181" s="16" t="str">
        <f t="shared" si="4"/>
        <v>Married</v>
      </c>
      <c r="D181" t="s">
        <v>33</v>
      </c>
      <c r="E181" s="16" t="str">
        <f t="shared" si="5"/>
        <v>Female</v>
      </c>
      <c r="F181" s="1">
        <v>10000</v>
      </c>
      <c r="G181">
        <v>0</v>
      </c>
      <c r="H181" t="s">
        <v>31</v>
      </c>
      <c r="I181" t="s">
        <v>25</v>
      </c>
      <c r="J181" t="s">
        <v>15</v>
      </c>
      <c r="K181">
        <v>0</v>
      </c>
      <c r="L181" t="s">
        <v>16</v>
      </c>
      <c r="M181" t="s">
        <v>17</v>
      </c>
      <c r="N181">
        <v>37</v>
      </c>
      <c r="O181" t="s">
        <v>15</v>
      </c>
    </row>
    <row r="182" spans="1:15" x14ac:dyDescent="0.2">
      <c r="A182">
        <v>25529</v>
      </c>
      <c r="B182" t="s">
        <v>35</v>
      </c>
      <c r="C182" s="16" t="str">
        <f t="shared" si="4"/>
        <v>Single</v>
      </c>
      <c r="D182" t="s">
        <v>34</v>
      </c>
      <c r="E182" s="16" t="str">
        <f t="shared" si="5"/>
        <v>Male</v>
      </c>
      <c r="F182" s="1">
        <v>10000</v>
      </c>
      <c r="G182">
        <v>1</v>
      </c>
      <c r="H182" t="s">
        <v>31</v>
      </c>
      <c r="I182" t="s">
        <v>25</v>
      </c>
      <c r="J182" t="s">
        <v>15</v>
      </c>
      <c r="K182">
        <v>0</v>
      </c>
      <c r="L182" t="s">
        <v>16</v>
      </c>
      <c r="M182" t="s">
        <v>17</v>
      </c>
      <c r="N182">
        <v>44</v>
      </c>
      <c r="O182" t="s">
        <v>18</v>
      </c>
    </row>
    <row r="183" spans="1:15" x14ac:dyDescent="0.2">
      <c r="A183">
        <v>22170</v>
      </c>
      <c r="B183" t="s">
        <v>34</v>
      </c>
      <c r="C183" s="16" t="str">
        <f t="shared" si="4"/>
        <v>Married</v>
      </c>
      <c r="D183" t="s">
        <v>33</v>
      </c>
      <c r="E183" s="16" t="str">
        <f t="shared" si="5"/>
        <v>Female</v>
      </c>
      <c r="F183" s="1">
        <v>30000</v>
      </c>
      <c r="G183">
        <v>3</v>
      </c>
      <c r="H183" t="s">
        <v>19</v>
      </c>
      <c r="I183" t="s">
        <v>20</v>
      </c>
      <c r="J183" t="s">
        <v>18</v>
      </c>
      <c r="K183">
        <v>2</v>
      </c>
      <c r="L183" t="s">
        <v>26</v>
      </c>
      <c r="M183" t="s">
        <v>24</v>
      </c>
      <c r="N183">
        <v>55</v>
      </c>
      <c r="O183" t="s">
        <v>15</v>
      </c>
    </row>
    <row r="184" spans="1:15" x14ac:dyDescent="0.2">
      <c r="A184">
        <v>19445</v>
      </c>
      <c r="B184" t="s">
        <v>34</v>
      </c>
      <c r="C184" s="16" t="str">
        <f t="shared" si="4"/>
        <v>Married</v>
      </c>
      <c r="D184" t="s">
        <v>33</v>
      </c>
      <c r="E184" s="16" t="str">
        <f t="shared" si="5"/>
        <v>Female</v>
      </c>
      <c r="F184" s="1">
        <v>10000</v>
      </c>
      <c r="G184">
        <v>2</v>
      </c>
      <c r="H184" t="s">
        <v>27</v>
      </c>
      <c r="I184" t="s">
        <v>25</v>
      </c>
      <c r="J184" t="s">
        <v>18</v>
      </c>
      <c r="K184">
        <v>1</v>
      </c>
      <c r="L184" t="s">
        <v>16</v>
      </c>
      <c r="M184" t="s">
        <v>17</v>
      </c>
      <c r="N184">
        <v>38</v>
      </c>
      <c r="O184" t="s">
        <v>18</v>
      </c>
    </row>
    <row r="185" spans="1:15" x14ac:dyDescent="0.2">
      <c r="A185">
        <v>15265</v>
      </c>
      <c r="B185" t="s">
        <v>35</v>
      </c>
      <c r="C185" s="16" t="str">
        <f t="shared" si="4"/>
        <v>Single</v>
      </c>
      <c r="D185" t="s">
        <v>34</v>
      </c>
      <c r="E185" s="16" t="str">
        <f t="shared" si="5"/>
        <v>Male</v>
      </c>
      <c r="F185" s="1">
        <v>40000</v>
      </c>
      <c r="G185">
        <v>2</v>
      </c>
      <c r="H185" t="s">
        <v>13</v>
      </c>
      <c r="I185" t="s">
        <v>28</v>
      </c>
      <c r="J185" t="s">
        <v>15</v>
      </c>
      <c r="K185">
        <v>2</v>
      </c>
      <c r="L185" t="s">
        <v>23</v>
      </c>
      <c r="M185" t="s">
        <v>24</v>
      </c>
      <c r="N185">
        <v>66</v>
      </c>
      <c r="O185" t="s">
        <v>15</v>
      </c>
    </row>
    <row r="186" spans="1:15" x14ac:dyDescent="0.2">
      <c r="A186">
        <v>28918</v>
      </c>
      <c r="B186" t="s">
        <v>34</v>
      </c>
      <c r="C186" s="16" t="str">
        <f t="shared" si="4"/>
        <v>Married</v>
      </c>
      <c r="D186" t="s">
        <v>33</v>
      </c>
      <c r="E186" s="16" t="str">
        <f t="shared" si="5"/>
        <v>Female</v>
      </c>
      <c r="F186" s="1">
        <v>130000</v>
      </c>
      <c r="G186">
        <v>4</v>
      </c>
      <c r="H186" t="s">
        <v>27</v>
      </c>
      <c r="I186" t="s">
        <v>28</v>
      </c>
      <c r="J186" t="s">
        <v>18</v>
      </c>
      <c r="K186">
        <v>4</v>
      </c>
      <c r="L186" t="s">
        <v>30</v>
      </c>
      <c r="M186" t="s">
        <v>17</v>
      </c>
      <c r="N186">
        <v>58</v>
      </c>
      <c r="O186" t="s">
        <v>18</v>
      </c>
    </row>
    <row r="187" spans="1:15" x14ac:dyDescent="0.2">
      <c r="A187">
        <v>15799</v>
      </c>
      <c r="B187" t="s">
        <v>34</v>
      </c>
      <c r="C187" s="16" t="str">
        <f t="shared" si="4"/>
        <v>Married</v>
      </c>
      <c r="D187" t="s">
        <v>33</v>
      </c>
      <c r="E187" s="16" t="str">
        <f t="shared" si="5"/>
        <v>Female</v>
      </c>
      <c r="F187" s="1">
        <v>90000</v>
      </c>
      <c r="G187">
        <v>1</v>
      </c>
      <c r="H187" t="s">
        <v>13</v>
      </c>
      <c r="I187" t="s">
        <v>21</v>
      </c>
      <c r="J187" t="s">
        <v>15</v>
      </c>
      <c r="K187">
        <v>1</v>
      </c>
      <c r="L187" t="s">
        <v>22</v>
      </c>
      <c r="M187" t="s">
        <v>24</v>
      </c>
      <c r="N187">
        <v>47</v>
      </c>
      <c r="O187" t="s">
        <v>15</v>
      </c>
    </row>
    <row r="188" spans="1:15" x14ac:dyDescent="0.2">
      <c r="A188">
        <v>11047</v>
      </c>
      <c r="B188" t="s">
        <v>34</v>
      </c>
      <c r="C188" s="16" t="str">
        <f t="shared" si="4"/>
        <v>Married</v>
      </c>
      <c r="D188" t="s">
        <v>33</v>
      </c>
      <c r="E188" s="16" t="str">
        <f t="shared" si="5"/>
        <v>Female</v>
      </c>
      <c r="F188" s="1">
        <v>30000</v>
      </c>
      <c r="G188">
        <v>3</v>
      </c>
      <c r="H188" t="s">
        <v>27</v>
      </c>
      <c r="I188" t="s">
        <v>14</v>
      </c>
      <c r="J188" t="s">
        <v>18</v>
      </c>
      <c r="K188">
        <v>2</v>
      </c>
      <c r="L188" t="s">
        <v>26</v>
      </c>
      <c r="M188" t="s">
        <v>24</v>
      </c>
      <c r="N188">
        <v>56</v>
      </c>
      <c r="O188" t="s">
        <v>15</v>
      </c>
    </row>
    <row r="189" spans="1:15" x14ac:dyDescent="0.2">
      <c r="A189">
        <v>18151</v>
      </c>
      <c r="B189" t="s">
        <v>35</v>
      </c>
      <c r="C189" s="16" t="str">
        <f t="shared" si="4"/>
        <v>Single</v>
      </c>
      <c r="D189" t="s">
        <v>34</v>
      </c>
      <c r="E189" s="16" t="str">
        <f t="shared" si="5"/>
        <v>Male</v>
      </c>
      <c r="F189" s="1">
        <v>80000</v>
      </c>
      <c r="G189">
        <v>5</v>
      </c>
      <c r="H189" t="s">
        <v>19</v>
      </c>
      <c r="I189" t="s">
        <v>21</v>
      </c>
      <c r="J189" t="s">
        <v>18</v>
      </c>
      <c r="K189">
        <v>2</v>
      </c>
      <c r="L189" t="s">
        <v>30</v>
      </c>
      <c r="M189" t="s">
        <v>17</v>
      </c>
      <c r="N189">
        <v>59</v>
      </c>
      <c r="O189" t="s">
        <v>18</v>
      </c>
    </row>
    <row r="190" spans="1:15" x14ac:dyDescent="0.2">
      <c r="A190">
        <v>20606</v>
      </c>
      <c r="B190" t="s">
        <v>34</v>
      </c>
      <c r="C190" s="16" t="str">
        <f t="shared" si="4"/>
        <v>Married</v>
      </c>
      <c r="D190" t="s">
        <v>33</v>
      </c>
      <c r="E190" s="16" t="str">
        <f t="shared" si="5"/>
        <v>Female</v>
      </c>
      <c r="F190" s="1">
        <v>70000</v>
      </c>
      <c r="G190">
        <v>0</v>
      </c>
      <c r="H190" t="s">
        <v>13</v>
      </c>
      <c r="I190" t="s">
        <v>21</v>
      </c>
      <c r="J190" t="s">
        <v>15</v>
      </c>
      <c r="K190">
        <v>4</v>
      </c>
      <c r="L190" t="s">
        <v>30</v>
      </c>
      <c r="M190" t="s">
        <v>24</v>
      </c>
      <c r="N190">
        <v>32</v>
      </c>
      <c r="O190" t="s">
        <v>15</v>
      </c>
    </row>
    <row r="191" spans="1:15" x14ac:dyDescent="0.2">
      <c r="A191">
        <v>19482</v>
      </c>
      <c r="B191" t="s">
        <v>34</v>
      </c>
      <c r="C191" s="16" t="str">
        <f t="shared" si="4"/>
        <v>Married</v>
      </c>
      <c r="D191" t="s">
        <v>34</v>
      </c>
      <c r="E191" s="16" t="str">
        <f t="shared" si="5"/>
        <v>Male</v>
      </c>
      <c r="F191" s="1">
        <v>30000</v>
      </c>
      <c r="G191">
        <v>1</v>
      </c>
      <c r="H191" t="s">
        <v>19</v>
      </c>
      <c r="I191" t="s">
        <v>20</v>
      </c>
      <c r="J191" t="s">
        <v>15</v>
      </c>
      <c r="K191">
        <v>1</v>
      </c>
      <c r="L191" t="s">
        <v>16</v>
      </c>
      <c r="M191" t="s">
        <v>17</v>
      </c>
      <c r="N191">
        <v>44</v>
      </c>
      <c r="O191" t="s">
        <v>15</v>
      </c>
    </row>
    <row r="192" spans="1:15" x14ac:dyDescent="0.2">
      <c r="A192">
        <v>16489</v>
      </c>
      <c r="B192" t="s">
        <v>34</v>
      </c>
      <c r="C192" s="16" t="str">
        <f t="shared" si="4"/>
        <v>Married</v>
      </c>
      <c r="D192" t="s">
        <v>34</v>
      </c>
      <c r="E192" s="16" t="str">
        <f t="shared" si="5"/>
        <v>Male</v>
      </c>
      <c r="F192" s="1">
        <v>30000</v>
      </c>
      <c r="G192">
        <v>3</v>
      </c>
      <c r="H192" t="s">
        <v>27</v>
      </c>
      <c r="I192" t="s">
        <v>14</v>
      </c>
      <c r="J192" t="s">
        <v>15</v>
      </c>
      <c r="K192">
        <v>2</v>
      </c>
      <c r="L192" t="s">
        <v>23</v>
      </c>
      <c r="M192" t="s">
        <v>24</v>
      </c>
      <c r="N192">
        <v>55</v>
      </c>
      <c r="O192" t="s">
        <v>18</v>
      </c>
    </row>
    <row r="193" spans="1:15" x14ac:dyDescent="0.2">
      <c r="A193">
        <v>26944</v>
      </c>
      <c r="B193" t="s">
        <v>35</v>
      </c>
      <c r="C193" s="16" t="str">
        <f t="shared" si="4"/>
        <v>Single</v>
      </c>
      <c r="D193" t="s">
        <v>34</v>
      </c>
      <c r="E193" s="16" t="str">
        <f t="shared" si="5"/>
        <v>Male</v>
      </c>
      <c r="F193" s="1">
        <v>90000</v>
      </c>
      <c r="G193">
        <v>2</v>
      </c>
      <c r="H193" t="s">
        <v>27</v>
      </c>
      <c r="I193" t="s">
        <v>25</v>
      </c>
      <c r="J193" t="s">
        <v>15</v>
      </c>
      <c r="K193">
        <v>0</v>
      </c>
      <c r="L193" t="s">
        <v>16</v>
      </c>
      <c r="M193" t="s">
        <v>17</v>
      </c>
      <c r="N193">
        <v>36</v>
      </c>
      <c r="O193" t="s">
        <v>15</v>
      </c>
    </row>
    <row r="194" spans="1:15" x14ac:dyDescent="0.2">
      <c r="A194">
        <v>15682</v>
      </c>
      <c r="B194" t="s">
        <v>35</v>
      </c>
      <c r="C194" s="16" t="str">
        <f t="shared" ref="C194:C257" si="6">IF(B194="M","Married","Single")</f>
        <v>Single</v>
      </c>
      <c r="D194" t="s">
        <v>33</v>
      </c>
      <c r="E194" s="16" t="str">
        <f t="shared" ref="E194:E257" si="7">IF(D194="F","Female","Male")</f>
        <v>Female</v>
      </c>
      <c r="F194" s="1">
        <v>80000</v>
      </c>
      <c r="G194">
        <v>5</v>
      </c>
      <c r="H194" t="s">
        <v>13</v>
      </c>
      <c r="I194" t="s">
        <v>28</v>
      </c>
      <c r="J194" t="s">
        <v>15</v>
      </c>
      <c r="K194">
        <v>2</v>
      </c>
      <c r="L194" t="s">
        <v>30</v>
      </c>
      <c r="M194" t="s">
        <v>17</v>
      </c>
      <c r="N194">
        <v>62</v>
      </c>
      <c r="O194" t="s">
        <v>18</v>
      </c>
    </row>
    <row r="195" spans="1:15" x14ac:dyDescent="0.2">
      <c r="A195">
        <v>26032</v>
      </c>
      <c r="B195" t="s">
        <v>34</v>
      </c>
      <c r="C195" s="16" t="str">
        <f t="shared" si="6"/>
        <v>Married</v>
      </c>
      <c r="D195" t="s">
        <v>33</v>
      </c>
      <c r="E195" s="16" t="str">
        <f t="shared" si="7"/>
        <v>Female</v>
      </c>
      <c r="F195" s="1">
        <v>70000</v>
      </c>
      <c r="G195">
        <v>5</v>
      </c>
      <c r="H195" t="s">
        <v>13</v>
      </c>
      <c r="I195" t="s">
        <v>21</v>
      </c>
      <c r="J195" t="s">
        <v>15</v>
      </c>
      <c r="K195">
        <v>4</v>
      </c>
      <c r="L195" t="s">
        <v>30</v>
      </c>
      <c r="M195" t="s">
        <v>24</v>
      </c>
      <c r="N195">
        <v>41</v>
      </c>
      <c r="O195" t="s">
        <v>18</v>
      </c>
    </row>
    <row r="196" spans="1:15" x14ac:dyDescent="0.2">
      <c r="A196">
        <v>17843</v>
      </c>
      <c r="B196" t="s">
        <v>35</v>
      </c>
      <c r="C196" s="16" t="str">
        <f t="shared" si="6"/>
        <v>Single</v>
      </c>
      <c r="D196" t="s">
        <v>33</v>
      </c>
      <c r="E196" s="16" t="str">
        <f t="shared" si="7"/>
        <v>Female</v>
      </c>
      <c r="F196" s="1">
        <v>10000</v>
      </c>
      <c r="G196">
        <v>0</v>
      </c>
      <c r="H196" t="s">
        <v>29</v>
      </c>
      <c r="I196" t="s">
        <v>25</v>
      </c>
      <c r="J196" t="s">
        <v>18</v>
      </c>
      <c r="K196">
        <v>2</v>
      </c>
      <c r="L196" t="s">
        <v>16</v>
      </c>
      <c r="M196" t="s">
        <v>17</v>
      </c>
      <c r="N196">
        <v>32</v>
      </c>
      <c r="O196" t="s">
        <v>18</v>
      </c>
    </row>
    <row r="197" spans="1:15" x14ac:dyDescent="0.2">
      <c r="A197">
        <v>25559</v>
      </c>
      <c r="B197" t="s">
        <v>35</v>
      </c>
      <c r="C197" s="16" t="str">
        <f t="shared" si="6"/>
        <v>Single</v>
      </c>
      <c r="D197" t="s">
        <v>34</v>
      </c>
      <c r="E197" s="16" t="str">
        <f t="shared" si="7"/>
        <v>Male</v>
      </c>
      <c r="F197" s="1">
        <v>20000</v>
      </c>
      <c r="G197">
        <v>0</v>
      </c>
      <c r="H197" t="s">
        <v>13</v>
      </c>
      <c r="I197" t="s">
        <v>20</v>
      </c>
      <c r="J197" t="s">
        <v>15</v>
      </c>
      <c r="K197">
        <v>0</v>
      </c>
      <c r="L197" t="s">
        <v>16</v>
      </c>
      <c r="M197" t="s">
        <v>24</v>
      </c>
      <c r="N197">
        <v>25</v>
      </c>
      <c r="O197" t="s">
        <v>15</v>
      </c>
    </row>
    <row r="198" spans="1:15" x14ac:dyDescent="0.2">
      <c r="A198">
        <v>16209</v>
      </c>
      <c r="B198" t="s">
        <v>35</v>
      </c>
      <c r="C198" s="16" t="str">
        <f t="shared" si="6"/>
        <v>Single</v>
      </c>
      <c r="D198" t="s">
        <v>33</v>
      </c>
      <c r="E198" s="16" t="str">
        <f t="shared" si="7"/>
        <v>Female</v>
      </c>
      <c r="F198" s="1">
        <v>50000</v>
      </c>
      <c r="G198">
        <v>0</v>
      </c>
      <c r="H198" t="s">
        <v>31</v>
      </c>
      <c r="I198" t="s">
        <v>14</v>
      </c>
      <c r="J198" t="s">
        <v>15</v>
      </c>
      <c r="K198">
        <v>0</v>
      </c>
      <c r="L198" t="s">
        <v>26</v>
      </c>
      <c r="M198" t="s">
        <v>17</v>
      </c>
      <c r="N198">
        <v>36</v>
      </c>
      <c r="O198" t="s">
        <v>18</v>
      </c>
    </row>
    <row r="199" spans="1:15" x14ac:dyDescent="0.2">
      <c r="A199">
        <v>11147</v>
      </c>
      <c r="B199" t="s">
        <v>34</v>
      </c>
      <c r="C199" s="16" t="str">
        <f t="shared" si="6"/>
        <v>Married</v>
      </c>
      <c r="D199" t="s">
        <v>34</v>
      </c>
      <c r="E199" s="16" t="str">
        <f t="shared" si="7"/>
        <v>Male</v>
      </c>
      <c r="F199" s="1">
        <v>60000</v>
      </c>
      <c r="G199">
        <v>2</v>
      </c>
      <c r="H199" t="s">
        <v>31</v>
      </c>
      <c r="I199" t="s">
        <v>28</v>
      </c>
      <c r="J199" t="s">
        <v>15</v>
      </c>
      <c r="K199">
        <v>1</v>
      </c>
      <c r="L199" t="s">
        <v>16</v>
      </c>
      <c r="M199" t="s">
        <v>24</v>
      </c>
      <c r="N199">
        <v>67</v>
      </c>
      <c r="O199" t="s">
        <v>15</v>
      </c>
    </row>
    <row r="200" spans="1:15" x14ac:dyDescent="0.2">
      <c r="A200">
        <v>15214</v>
      </c>
      <c r="B200" t="s">
        <v>35</v>
      </c>
      <c r="C200" s="16" t="str">
        <f t="shared" si="6"/>
        <v>Single</v>
      </c>
      <c r="D200" t="s">
        <v>33</v>
      </c>
      <c r="E200" s="16" t="str">
        <f t="shared" si="7"/>
        <v>Female</v>
      </c>
      <c r="F200" s="1">
        <v>100000</v>
      </c>
      <c r="G200">
        <v>0</v>
      </c>
      <c r="H200" t="s">
        <v>31</v>
      </c>
      <c r="I200" t="s">
        <v>28</v>
      </c>
      <c r="J200" t="s">
        <v>18</v>
      </c>
      <c r="K200">
        <v>1</v>
      </c>
      <c r="L200" t="s">
        <v>26</v>
      </c>
      <c r="M200" t="s">
        <v>24</v>
      </c>
      <c r="N200">
        <v>39</v>
      </c>
      <c r="O200" t="s">
        <v>15</v>
      </c>
    </row>
    <row r="201" spans="1:15" x14ac:dyDescent="0.2">
      <c r="A201">
        <v>11453</v>
      </c>
      <c r="B201" t="s">
        <v>35</v>
      </c>
      <c r="C201" s="16" t="str">
        <f t="shared" si="6"/>
        <v>Single</v>
      </c>
      <c r="D201" t="s">
        <v>34</v>
      </c>
      <c r="E201" s="16" t="str">
        <f t="shared" si="7"/>
        <v>Male</v>
      </c>
      <c r="F201" s="1">
        <v>80000</v>
      </c>
      <c r="G201">
        <v>0</v>
      </c>
      <c r="H201" t="s">
        <v>13</v>
      </c>
      <c r="I201" t="s">
        <v>21</v>
      </c>
      <c r="J201" t="s">
        <v>18</v>
      </c>
      <c r="K201">
        <v>3</v>
      </c>
      <c r="L201" t="s">
        <v>30</v>
      </c>
      <c r="M201" t="s">
        <v>24</v>
      </c>
      <c r="N201">
        <v>33</v>
      </c>
      <c r="O201" t="s">
        <v>15</v>
      </c>
    </row>
    <row r="202" spans="1:15" x14ac:dyDescent="0.2">
      <c r="A202">
        <v>24584</v>
      </c>
      <c r="B202" t="s">
        <v>35</v>
      </c>
      <c r="C202" s="16" t="str">
        <f t="shared" si="6"/>
        <v>Single</v>
      </c>
      <c r="D202" t="s">
        <v>34</v>
      </c>
      <c r="E202" s="16" t="str">
        <f t="shared" si="7"/>
        <v>Male</v>
      </c>
      <c r="F202" s="1">
        <v>60000</v>
      </c>
      <c r="G202">
        <v>0</v>
      </c>
      <c r="H202" t="s">
        <v>13</v>
      </c>
      <c r="I202" t="s">
        <v>21</v>
      </c>
      <c r="J202" t="s">
        <v>18</v>
      </c>
      <c r="K202">
        <v>3</v>
      </c>
      <c r="L202" t="s">
        <v>22</v>
      </c>
      <c r="M202" t="s">
        <v>24</v>
      </c>
      <c r="N202">
        <v>31</v>
      </c>
      <c r="O202" t="s">
        <v>18</v>
      </c>
    </row>
    <row r="203" spans="1:15" x14ac:dyDescent="0.2">
      <c r="A203">
        <v>12585</v>
      </c>
      <c r="B203" t="s">
        <v>34</v>
      </c>
      <c r="C203" s="16" t="str">
        <f t="shared" si="6"/>
        <v>Married</v>
      </c>
      <c r="D203" t="s">
        <v>34</v>
      </c>
      <c r="E203" s="16" t="str">
        <f t="shared" si="7"/>
        <v>Male</v>
      </c>
      <c r="F203" s="1">
        <v>10000</v>
      </c>
      <c r="G203">
        <v>1</v>
      </c>
      <c r="H203" t="s">
        <v>27</v>
      </c>
      <c r="I203" t="s">
        <v>25</v>
      </c>
      <c r="J203" t="s">
        <v>15</v>
      </c>
      <c r="K203">
        <v>0</v>
      </c>
      <c r="L203" t="s">
        <v>22</v>
      </c>
      <c r="M203" t="s">
        <v>24</v>
      </c>
      <c r="N203">
        <v>27</v>
      </c>
      <c r="O203" t="s">
        <v>15</v>
      </c>
    </row>
    <row r="204" spans="1:15" x14ac:dyDescent="0.2">
      <c r="A204">
        <v>18626</v>
      </c>
      <c r="B204" t="s">
        <v>35</v>
      </c>
      <c r="C204" s="16" t="str">
        <f t="shared" si="6"/>
        <v>Single</v>
      </c>
      <c r="D204" t="s">
        <v>34</v>
      </c>
      <c r="E204" s="16" t="str">
        <f t="shared" si="7"/>
        <v>Male</v>
      </c>
      <c r="F204" s="1">
        <v>40000</v>
      </c>
      <c r="G204">
        <v>2</v>
      </c>
      <c r="H204" t="s">
        <v>19</v>
      </c>
      <c r="I204" t="s">
        <v>20</v>
      </c>
      <c r="J204" t="s">
        <v>15</v>
      </c>
      <c r="K204">
        <v>0</v>
      </c>
      <c r="L204" t="s">
        <v>26</v>
      </c>
      <c r="M204" t="s">
        <v>17</v>
      </c>
      <c r="N204">
        <v>33</v>
      </c>
      <c r="O204" t="s">
        <v>15</v>
      </c>
    </row>
    <row r="205" spans="1:15" x14ac:dyDescent="0.2">
      <c r="A205">
        <v>29298</v>
      </c>
      <c r="B205" t="s">
        <v>35</v>
      </c>
      <c r="C205" s="16" t="str">
        <f t="shared" si="6"/>
        <v>Single</v>
      </c>
      <c r="D205" t="s">
        <v>33</v>
      </c>
      <c r="E205" s="16" t="str">
        <f t="shared" si="7"/>
        <v>Female</v>
      </c>
      <c r="F205" s="1">
        <v>60000</v>
      </c>
      <c r="G205">
        <v>1</v>
      </c>
      <c r="H205" t="s">
        <v>19</v>
      </c>
      <c r="I205" t="s">
        <v>14</v>
      </c>
      <c r="J205" t="s">
        <v>15</v>
      </c>
      <c r="K205">
        <v>1</v>
      </c>
      <c r="L205" t="s">
        <v>23</v>
      </c>
      <c r="M205" t="s">
        <v>24</v>
      </c>
      <c r="N205">
        <v>46</v>
      </c>
      <c r="O205" t="s">
        <v>15</v>
      </c>
    </row>
    <row r="206" spans="1:15" x14ac:dyDescent="0.2">
      <c r="A206">
        <v>24842</v>
      </c>
      <c r="B206" t="s">
        <v>35</v>
      </c>
      <c r="C206" s="16" t="str">
        <f t="shared" si="6"/>
        <v>Single</v>
      </c>
      <c r="D206" t="s">
        <v>33</v>
      </c>
      <c r="E206" s="16" t="str">
        <f t="shared" si="7"/>
        <v>Female</v>
      </c>
      <c r="F206" s="1">
        <v>90000</v>
      </c>
      <c r="G206">
        <v>3</v>
      </c>
      <c r="H206" t="s">
        <v>27</v>
      </c>
      <c r="I206" t="s">
        <v>21</v>
      </c>
      <c r="J206" t="s">
        <v>18</v>
      </c>
      <c r="K206">
        <v>1</v>
      </c>
      <c r="L206" t="s">
        <v>22</v>
      </c>
      <c r="M206" t="s">
        <v>17</v>
      </c>
      <c r="N206">
        <v>51</v>
      </c>
      <c r="O206" t="s">
        <v>18</v>
      </c>
    </row>
    <row r="207" spans="1:15" x14ac:dyDescent="0.2">
      <c r="A207">
        <v>15657</v>
      </c>
      <c r="B207" t="s">
        <v>34</v>
      </c>
      <c r="C207" s="16" t="str">
        <f t="shared" si="6"/>
        <v>Married</v>
      </c>
      <c r="D207" t="s">
        <v>34</v>
      </c>
      <c r="E207" s="16" t="str">
        <f t="shared" si="7"/>
        <v>Male</v>
      </c>
      <c r="F207" s="1">
        <v>30000</v>
      </c>
      <c r="G207">
        <v>3</v>
      </c>
      <c r="H207" t="s">
        <v>31</v>
      </c>
      <c r="I207" t="s">
        <v>20</v>
      </c>
      <c r="J207" t="s">
        <v>15</v>
      </c>
      <c r="K207">
        <v>0</v>
      </c>
      <c r="L207" t="s">
        <v>16</v>
      </c>
      <c r="M207" t="s">
        <v>17</v>
      </c>
      <c r="N207">
        <v>46</v>
      </c>
      <c r="O207" t="s">
        <v>15</v>
      </c>
    </row>
    <row r="208" spans="1:15" x14ac:dyDescent="0.2">
      <c r="A208">
        <v>11415</v>
      </c>
      <c r="B208" t="s">
        <v>35</v>
      </c>
      <c r="C208" s="16" t="str">
        <f t="shared" si="6"/>
        <v>Single</v>
      </c>
      <c r="D208" t="s">
        <v>34</v>
      </c>
      <c r="E208" s="16" t="str">
        <f t="shared" si="7"/>
        <v>Male</v>
      </c>
      <c r="F208" s="1">
        <v>90000</v>
      </c>
      <c r="G208">
        <v>5</v>
      </c>
      <c r="H208" t="s">
        <v>19</v>
      </c>
      <c r="I208" t="s">
        <v>21</v>
      </c>
      <c r="J208" t="s">
        <v>18</v>
      </c>
      <c r="K208">
        <v>2</v>
      </c>
      <c r="L208" t="s">
        <v>30</v>
      </c>
      <c r="M208" t="s">
        <v>17</v>
      </c>
      <c r="N208">
        <v>62</v>
      </c>
      <c r="O208" t="s">
        <v>18</v>
      </c>
    </row>
    <row r="209" spans="1:15" x14ac:dyDescent="0.2">
      <c r="A209">
        <v>28729</v>
      </c>
      <c r="B209" t="s">
        <v>35</v>
      </c>
      <c r="C209" s="16" t="str">
        <f t="shared" si="6"/>
        <v>Single</v>
      </c>
      <c r="D209" t="s">
        <v>33</v>
      </c>
      <c r="E209" s="16" t="str">
        <f t="shared" si="7"/>
        <v>Female</v>
      </c>
      <c r="F209" s="1">
        <v>20000</v>
      </c>
      <c r="G209">
        <v>0</v>
      </c>
      <c r="H209" t="s">
        <v>29</v>
      </c>
      <c r="I209" t="s">
        <v>25</v>
      </c>
      <c r="J209" t="s">
        <v>15</v>
      </c>
      <c r="K209">
        <v>2</v>
      </c>
      <c r="L209" t="s">
        <v>26</v>
      </c>
      <c r="M209" t="s">
        <v>17</v>
      </c>
      <c r="N209">
        <v>26</v>
      </c>
      <c r="O209" t="s">
        <v>15</v>
      </c>
    </row>
    <row r="210" spans="1:15" x14ac:dyDescent="0.2">
      <c r="A210">
        <v>22633</v>
      </c>
      <c r="B210" t="s">
        <v>35</v>
      </c>
      <c r="C210" s="16" t="str">
        <f t="shared" si="6"/>
        <v>Single</v>
      </c>
      <c r="D210" t="s">
        <v>33</v>
      </c>
      <c r="E210" s="16" t="str">
        <f t="shared" si="7"/>
        <v>Female</v>
      </c>
      <c r="F210" s="1">
        <v>40000</v>
      </c>
      <c r="G210">
        <v>0</v>
      </c>
      <c r="H210" t="s">
        <v>31</v>
      </c>
      <c r="I210" t="s">
        <v>20</v>
      </c>
      <c r="J210" t="s">
        <v>15</v>
      </c>
      <c r="K210">
        <v>0</v>
      </c>
      <c r="L210" t="s">
        <v>16</v>
      </c>
      <c r="M210" t="s">
        <v>17</v>
      </c>
      <c r="N210">
        <v>37</v>
      </c>
      <c r="O210" t="s">
        <v>15</v>
      </c>
    </row>
    <row r="211" spans="1:15" x14ac:dyDescent="0.2">
      <c r="A211">
        <v>25649</v>
      </c>
      <c r="B211" t="s">
        <v>35</v>
      </c>
      <c r="C211" s="16" t="str">
        <f t="shared" si="6"/>
        <v>Single</v>
      </c>
      <c r="D211" t="s">
        <v>33</v>
      </c>
      <c r="E211" s="16" t="str">
        <f t="shared" si="7"/>
        <v>Female</v>
      </c>
      <c r="F211" s="1">
        <v>30000</v>
      </c>
      <c r="G211">
        <v>3</v>
      </c>
      <c r="H211" t="s">
        <v>19</v>
      </c>
      <c r="I211" t="s">
        <v>20</v>
      </c>
      <c r="J211" t="s">
        <v>15</v>
      </c>
      <c r="K211">
        <v>0</v>
      </c>
      <c r="L211" t="s">
        <v>16</v>
      </c>
      <c r="M211" t="s">
        <v>17</v>
      </c>
      <c r="N211">
        <v>42</v>
      </c>
      <c r="O211" t="s">
        <v>15</v>
      </c>
    </row>
    <row r="212" spans="1:15" x14ac:dyDescent="0.2">
      <c r="A212">
        <v>14669</v>
      </c>
      <c r="B212" t="s">
        <v>34</v>
      </c>
      <c r="C212" s="16" t="str">
        <f t="shared" si="6"/>
        <v>Married</v>
      </c>
      <c r="D212" t="s">
        <v>33</v>
      </c>
      <c r="E212" s="16" t="str">
        <f t="shared" si="7"/>
        <v>Female</v>
      </c>
      <c r="F212" s="1">
        <v>80000</v>
      </c>
      <c r="G212">
        <v>4</v>
      </c>
      <c r="H212" t="s">
        <v>31</v>
      </c>
      <c r="I212" t="s">
        <v>28</v>
      </c>
      <c r="J212" t="s">
        <v>15</v>
      </c>
      <c r="K212">
        <v>1</v>
      </c>
      <c r="L212" t="s">
        <v>16</v>
      </c>
      <c r="M212" t="s">
        <v>24</v>
      </c>
      <c r="N212">
        <v>36</v>
      </c>
      <c r="O212" t="s">
        <v>18</v>
      </c>
    </row>
    <row r="213" spans="1:15" x14ac:dyDescent="0.2">
      <c r="A213">
        <v>19299</v>
      </c>
      <c r="B213" t="s">
        <v>34</v>
      </c>
      <c r="C213" s="16" t="str">
        <f t="shared" si="6"/>
        <v>Married</v>
      </c>
      <c r="D213" t="s">
        <v>33</v>
      </c>
      <c r="E213" s="16" t="str">
        <f t="shared" si="7"/>
        <v>Female</v>
      </c>
      <c r="F213" s="1">
        <v>50000</v>
      </c>
      <c r="G213">
        <v>0</v>
      </c>
      <c r="H213" t="s">
        <v>31</v>
      </c>
      <c r="I213" t="s">
        <v>14</v>
      </c>
      <c r="J213" t="s">
        <v>15</v>
      </c>
      <c r="K213">
        <v>0</v>
      </c>
      <c r="L213" t="s">
        <v>16</v>
      </c>
      <c r="M213" t="s">
        <v>17</v>
      </c>
      <c r="N213">
        <v>36</v>
      </c>
      <c r="O213" t="s">
        <v>15</v>
      </c>
    </row>
    <row r="214" spans="1:15" x14ac:dyDescent="0.2">
      <c r="A214">
        <v>20946</v>
      </c>
      <c r="B214" t="s">
        <v>35</v>
      </c>
      <c r="C214" s="16" t="str">
        <f t="shared" si="6"/>
        <v>Single</v>
      </c>
      <c r="D214" t="s">
        <v>33</v>
      </c>
      <c r="E214" s="16" t="str">
        <f t="shared" si="7"/>
        <v>Female</v>
      </c>
      <c r="F214" s="1">
        <v>30000</v>
      </c>
      <c r="G214">
        <v>0</v>
      </c>
      <c r="H214" t="s">
        <v>19</v>
      </c>
      <c r="I214" t="s">
        <v>20</v>
      </c>
      <c r="J214" t="s">
        <v>18</v>
      </c>
      <c r="K214">
        <v>1</v>
      </c>
      <c r="L214" t="s">
        <v>22</v>
      </c>
      <c r="M214" t="s">
        <v>17</v>
      </c>
      <c r="N214">
        <v>30</v>
      </c>
      <c r="O214" t="s">
        <v>18</v>
      </c>
    </row>
    <row r="215" spans="1:15" x14ac:dyDescent="0.2">
      <c r="A215">
        <v>11451</v>
      </c>
      <c r="B215" t="s">
        <v>35</v>
      </c>
      <c r="C215" s="16" t="str">
        <f t="shared" si="6"/>
        <v>Single</v>
      </c>
      <c r="D215" t="s">
        <v>34</v>
      </c>
      <c r="E215" s="16" t="str">
        <f t="shared" si="7"/>
        <v>Male</v>
      </c>
      <c r="F215" s="1">
        <v>70000</v>
      </c>
      <c r="G215">
        <v>0</v>
      </c>
      <c r="H215" t="s">
        <v>13</v>
      </c>
      <c r="I215" t="s">
        <v>21</v>
      </c>
      <c r="J215" t="s">
        <v>18</v>
      </c>
      <c r="K215">
        <v>4</v>
      </c>
      <c r="L215" t="s">
        <v>30</v>
      </c>
      <c r="M215" t="s">
        <v>24</v>
      </c>
      <c r="N215">
        <v>31</v>
      </c>
      <c r="O215" t="s">
        <v>15</v>
      </c>
    </row>
    <row r="216" spans="1:15" x14ac:dyDescent="0.2">
      <c r="A216">
        <v>25553</v>
      </c>
      <c r="B216" t="s">
        <v>34</v>
      </c>
      <c r="C216" s="16" t="str">
        <f t="shared" si="6"/>
        <v>Married</v>
      </c>
      <c r="D216" t="s">
        <v>34</v>
      </c>
      <c r="E216" s="16" t="str">
        <f t="shared" si="7"/>
        <v>Male</v>
      </c>
      <c r="F216" s="1">
        <v>30000</v>
      </c>
      <c r="G216">
        <v>1</v>
      </c>
      <c r="H216" t="s">
        <v>13</v>
      </c>
      <c r="I216" t="s">
        <v>20</v>
      </c>
      <c r="J216" t="s">
        <v>15</v>
      </c>
      <c r="K216">
        <v>0</v>
      </c>
      <c r="L216" t="s">
        <v>16</v>
      </c>
      <c r="M216" t="s">
        <v>17</v>
      </c>
      <c r="N216">
        <v>65</v>
      </c>
      <c r="O216" t="s">
        <v>15</v>
      </c>
    </row>
    <row r="217" spans="1:15" x14ac:dyDescent="0.2">
      <c r="A217">
        <v>27951</v>
      </c>
      <c r="B217" t="s">
        <v>35</v>
      </c>
      <c r="C217" s="16" t="str">
        <f t="shared" si="6"/>
        <v>Single</v>
      </c>
      <c r="D217" t="s">
        <v>34</v>
      </c>
      <c r="E217" s="16" t="str">
        <f t="shared" si="7"/>
        <v>Male</v>
      </c>
      <c r="F217" s="1">
        <v>80000</v>
      </c>
      <c r="G217">
        <v>4</v>
      </c>
      <c r="H217" t="s">
        <v>19</v>
      </c>
      <c r="I217" t="s">
        <v>21</v>
      </c>
      <c r="J217" t="s">
        <v>18</v>
      </c>
      <c r="K217">
        <v>2</v>
      </c>
      <c r="L217" t="s">
        <v>22</v>
      </c>
      <c r="M217" t="s">
        <v>17</v>
      </c>
      <c r="N217">
        <v>54</v>
      </c>
      <c r="O217" t="s">
        <v>15</v>
      </c>
    </row>
    <row r="218" spans="1:15" x14ac:dyDescent="0.2">
      <c r="A218">
        <v>25026</v>
      </c>
      <c r="B218" t="s">
        <v>34</v>
      </c>
      <c r="C218" s="16" t="str">
        <f t="shared" si="6"/>
        <v>Married</v>
      </c>
      <c r="D218" t="s">
        <v>34</v>
      </c>
      <c r="E218" s="16" t="str">
        <f t="shared" si="7"/>
        <v>Male</v>
      </c>
      <c r="F218" s="1">
        <v>20000</v>
      </c>
      <c r="G218">
        <v>2</v>
      </c>
      <c r="H218" t="s">
        <v>29</v>
      </c>
      <c r="I218" t="s">
        <v>20</v>
      </c>
      <c r="J218" t="s">
        <v>15</v>
      </c>
      <c r="K218">
        <v>3</v>
      </c>
      <c r="L218" t="s">
        <v>23</v>
      </c>
      <c r="M218" t="s">
        <v>24</v>
      </c>
      <c r="N218">
        <v>54</v>
      </c>
      <c r="O218" t="s">
        <v>18</v>
      </c>
    </row>
    <row r="219" spans="1:15" x14ac:dyDescent="0.2">
      <c r="A219">
        <v>13673</v>
      </c>
      <c r="B219" t="s">
        <v>35</v>
      </c>
      <c r="C219" s="16" t="str">
        <f t="shared" si="6"/>
        <v>Single</v>
      </c>
      <c r="D219" t="s">
        <v>33</v>
      </c>
      <c r="E219" s="16" t="str">
        <f t="shared" si="7"/>
        <v>Female</v>
      </c>
      <c r="F219" s="1">
        <v>20000</v>
      </c>
      <c r="G219">
        <v>0</v>
      </c>
      <c r="H219" t="s">
        <v>29</v>
      </c>
      <c r="I219" t="s">
        <v>25</v>
      </c>
      <c r="J219" t="s">
        <v>18</v>
      </c>
      <c r="K219">
        <v>2</v>
      </c>
      <c r="L219" t="s">
        <v>16</v>
      </c>
      <c r="M219" t="s">
        <v>17</v>
      </c>
      <c r="N219">
        <v>25</v>
      </c>
      <c r="O219" t="s">
        <v>18</v>
      </c>
    </row>
    <row r="220" spans="1:15" x14ac:dyDescent="0.2">
      <c r="A220">
        <v>16043</v>
      </c>
      <c r="B220" t="s">
        <v>35</v>
      </c>
      <c r="C220" s="16" t="str">
        <f t="shared" si="6"/>
        <v>Single</v>
      </c>
      <c r="D220" t="s">
        <v>34</v>
      </c>
      <c r="E220" s="16" t="str">
        <f t="shared" si="7"/>
        <v>Male</v>
      </c>
      <c r="F220" s="1">
        <v>10000</v>
      </c>
      <c r="G220">
        <v>1</v>
      </c>
      <c r="H220" t="s">
        <v>13</v>
      </c>
      <c r="I220" t="s">
        <v>25</v>
      </c>
      <c r="J220" t="s">
        <v>15</v>
      </c>
      <c r="K220">
        <v>0</v>
      </c>
      <c r="L220" t="s">
        <v>16</v>
      </c>
      <c r="M220" t="s">
        <v>17</v>
      </c>
      <c r="N220">
        <v>48</v>
      </c>
      <c r="O220" t="s">
        <v>18</v>
      </c>
    </row>
    <row r="221" spans="1:15" x14ac:dyDescent="0.2">
      <c r="A221">
        <v>22399</v>
      </c>
      <c r="B221" t="s">
        <v>35</v>
      </c>
      <c r="C221" s="16" t="str">
        <f t="shared" si="6"/>
        <v>Single</v>
      </c>
      <c r="D221" t="s">
        <v>34</v>
      </c>
      <c r="E221" s="16" t="str">
        <f t="shared" si="7"/>
        <v>Male</v>
      </c>
      <c r="F221" s="1">
        <v>10000</v>
      </c>
      <c r="G221">
        <v>0</v>
      </c>
      <c r="H221" t="s">
        <v>19</v>
      </c>
      <c r="I221" t="s">
        <v>25</v>
      </c>
      <c r="J221" t="s">
        <v>15</v>
      </c>
      <c r="K221">
        <v>1</v>
      </c>
      <c r="L221" t="s">
        <v>26</v>
      </c>
      <c r="M221" t="s">
        <v>24</v>
      </c>
      <c r="N221">
        <v>26</v>
      </c>
      <c r="O221" t="s">
        <v>15</v>
      </c>
    </row>
    <row r="222" spans="1:15" x14ac:dyDescent="0.2">
      <c r="A222">
        <v>27696</v>
      </c>
      <c r="B222" t="s">
        <v>34</v>
      </c>
      <c r="C222" s="16" t="str">
        <f t="shared" si="6"/>
        <v>Married</v>
      </c>
      <c r="D222" t="s">
        <v>34</v>
      </c>
      <c r="E222" s="16" t="str">
        <f t="shared" si="7"/>
        <v>Male</v>
      </c>
      <c r="F222" s="1">
        <v>60000</v>
      </c>
      <c r="G222">
        <v>1</v>
      </c>
      <c r="H222" t="s">
        <v>13</v>
      </c>
      <c r="I222" t="s">
        <v>21</v>
      </c>
      <c r="J222" t="s">
        <v>15</v>
      </c>
      <c r="K222">
        <v>1</v>
      </c>
      <c r="L222" t="s">
        <v>23</v>
      </c>
      <c r="M222" t="s">
        <v>24</v>
      </c>
      <c r="N222">
        <v>43</v>
      </c>
      <c r="O222" t="s">
        <v>15</v>
      </c>
    </row>
    <row r="223" spans="1:15" x14ac:dyDescent="0.2">
      <c r="A223">
        <v>25313</v>
      </c>
      <c r="B223" t="s">
        <v>35</v>
      </c>
      <c r="C223" s="16" t="str">
        <f t="shared" si="6"/>
        <v>Single</v>
      </c>
      <c r="D223" t="s">
        <v>34</v>
      </c>
      <c r="E223" s="16" t="str">
        <f t="shared" si="7"/>
        <v>Male</v>
      </c>
      <c r="F223" s="1">
        <v>10000</v>
      </c>
      <c r="G223">
        <v>0</v>
      </c>
      <c r="H223" t="s">
        <v>29</v>
      </c>
      <c r="I223" t="s">
        <v>25</v>
      </c>
      <c r="J223" t="s">
        <v>18</v>
      </c>
      <c r="K223">
        <v>2</v>
      </c>
      <c r="L223" t="s">
        <v>26</v>
      </c>
      <c r="M223" t="s">
        <v>17</v>
      </c>
      <c r="N223">
        <v>35</v>
      </c>
      <c r="O223" t="s">
        <v>18</v>
      </c>
    </row>
    <row r="224" spans="1:15" x14ac:dyDescent="0.2">
      <c r="A224">
        <v>13813</v>
      </c>
      <c r="B224" t="s">
        <v>34</v>
      </c>
      <c r="C224" s="16" t="str">
        <f t="shared" si="6"/>
        <v>Married</v>
      </c>
      <c r="D224" t="s">
        <v>33</v>
      </c>
      <c r="E224" s="16" t="str">
        <f t="shared" si="7"/>
        <v>Female</v>
      </c>
      <c r="F224" s="1">
        <v>30000</v>
      </c>
      <c r="G224">
        <v>3</v>
      </c>
      <c r="H224" t="s">
        <v>19</v>
      </c>
      <c r="I224" t="s">
        <v>20</v>
      </c>
      <c r="J224" t="s">
        <v>18</v>
      </c>
      <c r="K224">
        <v>0</v>
      </c>
      <c r="L224" t="s">
        <v>16</v>
      </c>
      <c r="M224" t="s">
        <v>17</v>
      </c>
      <c r="N224">
        <v>42</v>
      </c>
      <c r="O224" t="s">
        <v>18</v>
      </c>
    </row>
    <row r="225" spans="1:15" x14ac:dyDescent="0.2">
      <c r="A225">
        <v>18711</v>
      </c>
      <c r="B225" t="s">
        <v>35</v>
      </c>
      <c r="C225" s="16" t="str">
        <f t="shared" si="6"/>
        <v>Single</v>
      </c>
      <c r="D225" t="s">
        <v>33</v>
      </c>
      <c r="E225" s="16" t="str">
        <f t="shared" si="7"/>
        <v>Female</v>
      </c>
      <c r="F225" s="1">
        <v>70000</v>
      </c>
      <c r="G225">
        <v>5</v>
      </c>
      <c r="H225" t="s">
        <v>13</v>
      </c>
      <c r="I225" t="s">
        <v>21</v>
      </c>
      <c r="J225" t="s">
        <v>15</v>
      </c>
      <c r="K225">
        <v>4</v>
      </c>
      <c r="L225" t="s">
        <v>30</v>
      </c>
      <c r="M225" t="s">
        <v>24</v>
      </c>
      <c r="N225">
        <v>39</v>
      </c>
      <c r="O225" t="s">
        <v>18</v>
      </c>
    </row>
    <row r="226" spans="1:15" x14ac:dyDescent="0.2">
      <c r="A226">
        <v>19650</v>
      </c>
      <c r="B226" t="s">
        <v>34</v>
      </c>
      <c r="C226" s="16" t="str">
        <f t="shared" si="6"/>
        <v>Married</v>
      </c>
      <c r="D226" t="s">
        <v>33</v>
      </c>
      <c r="E226" s="16" t="str">
        <f t="shared" si="7"/>
        <v>Female</v>
      </c>
      <c r="F226" s="1">
        <v>30000</v>
      </c>
      <c r="G226">
        <v>2</v>
      </c>
      <c r="H226" t="s">
        <v>19</v>
      </c>
      <c r="I226" t="s">
        <v>20</v>
      </c>
      <c r="J226" t="s">
        <v>18</v>
      </c>
      <c r="K226">
        <v>2</v>
      </c>
      <c r="L226" t="s">
        <v>16</v>
      </c>
      <c r="M226" t="s">
        <v>24</v>
      </c>
      <c r="N226">
        <v>67</v>
      </c>
      <c r="O226" t="s">
        <v>18</v>
      </c>
    </row>
    <row r="227" spans="1:15" x14ac:dyDescent="0.2">
      <c r="A227">
        <v>14135</v>
      </c>
      <c r="B227" t="s">
        <v>34</v>
      </c>
      <c r="C227" s="16" t="str">
        <f t="shared" si="6"/>
        <v>Married</v>
      </c>
      <c r="D227" t="s">
        <v>34</v>
      </c>
      <c r="E227" s="16" t="str">
        <f t="shared" si="7"/>
        <v>Male</v>
      </c>
      <c r="F227" s="1">
        <v>20000</v>
      </c>
      <c r="G227">
        <v>1</v>
      </c>
      <c r="H227" t="s">
        <v>19</v>
      </c>
      <c r="I227" t="s">
        <v>25</v>
      </c>
      <c r="J227" t="s">
        <v>15</v>
      </c>
      <c r="K227">
        <v>0</v>
      </c>
      <c r="L227" t="s">
        <v>26</v>
      </c>
      <c r="M227" t="s">
        <v>17</v>
      </c>
      <c r="N227">
        <v>35</v>
      </c>
      <c r="O227" t="s">
        <v>18</v>
      </c>
    </row>
    <row r="228" spans="1:15" x14ac:dyDescent="0.2">
      <c r="A228">
        <v>12833</v>
      </c>
      <c r="B228" t="s">
        <v>35</v>
      </c>
      <c r="C228" s="16" t="str">
        <f t="shared" si="6"/>
        <v>Single</v>
      </c>
      <c r="D228" t="s">
        <v>33</v>
      </c>
      <c r="E228" s="16" t="str">
        <f t="shared" si="7"/>
        <v>Female</v>
      </c>
      <c r="F228" s="1">
        <v>20000</v>
      </c>
      <c r="G228">
        <v>3</v>
      </c>
      <c r="H228" t="s">
        <v>27</v>
      </c>
      <c r="I228" t="s">
        <v>25</v>
      </c>
      <c r="J228" t="s">
        <v>15</v>
      </c>
      <c r="K228">
        <v>1</v>
      </c>
      <c r="L228" t="s">
        <v>16</v>
      </c>
      <c r="M228" t="s">
        <v>17</v>
      </c>
      <c r="N228">
        <v>42</v>
      </c>
      <c r="O228" t="s">
        <v>15</v>
      </c>
    </row>
    <row r="229" spans="1:15" x14ac:dyDescent="0.2">
      <c r="A229">
        <v>26849</v>
      </c>
      <c r="B229" t="s">
        <v>34</v>
      </c>
      <c r="C229" s="16" t="str">
        <f t="shared" si="6"/>
        <v>Married</v>
      </c>
      <c r="D229" t="s">
        <v>34</v>
      </c>
      <c r="E229" s="16" t="str">
        <f t="shared" si="7"/>
        <v>Male</v>
      </c>
      <c r="F229" s="1">
        <v>10000</v>
      </c>
      <c r="G229">
        <v>3</v>
      </c>
      <c r="H229" t="s">
        <v>29</v>
      </c>
      <c r="I229" t="s">
        <v>25</v>
      </c>
      <c r="J229" t="s">
        <v>15</v>
      </c>
      <c r="K229">
        <v>2</v>
      </c>
      <c r="L229" t="s">
        <v>16</v>
      </c>
      <c r="M229" t="s">
        <v>17</v>
      </c>
      <c r="N229">
        <v>43</v>
      </c>
      <c r="O229" t="s">
        <v>18</v>
      </c>
    </row>
    <row r="230" spans="1:15" x14ac:dyDescent="0.2">
      <c r="A230">
        <v>20962</v>
      </c>
      <c r="B230" t="s">
        <v>34</v>
      </c>
      <c r="C230" s="16" t="str">
        <f t="shared" si="6"/>
        <v>Married</v>
      </c>
      <c r="D230" t="s">
        <v>33</v>
      </c>
      <c r="E230" s="16" t="str">
        <f t="shared" si="7"/>
        <v>Female</v>
      </c>
      <c r="F230" s="1">
        <v>20000</v>
      </c>
      <c r="G230">
        <v>1</v>
      </c>
      <c r="H230" t="s">
        <v>31</v>
      </c>
      <c r="I230" t="s">
        <v>20</v>
      </c>
      <c r="J230" t="s">
        <v>15</v>
      </c>
      <c r="K230">
        <v>0</v>
      </c>
      <c r="L230" t="s">
        <v>16</v>
      </c>
      <c r="M230" t="s">
        <v>17</v>
      </c>
      <c r="N230">
        <v>45</v>
      </c>
      <c r="O230" t="s">
        <v>18</v>
      </c>
    </row>
    <row r="231" spans="1:15" x14ac:dyDescent="0.2">
      <c r="A231">
        <v>28915</v>
      </c>
      <c r="B231" t="s">
        <v>35</v>
      </c>
      <c r="C231" s="16" t="str">
        <f t="shared" si="6"/>
        <v>Single</v>
      </c>
      <c r="D231" t="s">
        <v>34</v>
      </c>
      <c r="E231" s="16" t="str">
        <f t="shared" si="7"/>
        <v>Male</v>
      </c>
      <c r="F231" s="1">
        <v>80000</v>
      </c>
      <c r="G231">
        <v>5</v>
      </c>
      <c r="H231" t="s">
        <v>27</v>
      </c>
      <c r="I231" t="s">
        <v>28</v>
      </c>
      <c r="J231" t="s">
        <v>15</v>
      </c>
      <c r="K231">
        <v>3</v>
      </c>
      <c r="L231" t="s">
        <v>30</v>
      </c>
      <c r="M231" t="s">
        <v>17</v>
      </c>
      <c r="N231">
        <v>57</v>
      </c>
      <c r="O231" t="s">
        <v>18</v>
      </c>
    </row>
    <row r="232" spans="1:15" x14ac:dyDescent="0.2">
      <c r="A232">
        <v>22830</v>
      </c>
      <c r="B232" t="s">
        <v>34</v>
      </c>
      <c r="C232" s="16" t="str">
        <f t="shared" si="6"/>
        <v>Married</v>
      </c>
      <c r="D232" t="s">
        <v>34</v>
      </c>
      <c r="E232" s="16" t="str">
        <f t="shared" si="7"/>
        <v>Male</v>
      </c>
      <c r="F232" s="1">
        <v>120000</v>
      </c>
      <c r="G232">
        <v>4</v>
      </c>
      <c r="H232" t="s">
        <v>19</v>
      </c>
      <c r="I232" t="s">
        <v>28</v>
      </c>
      <c r="J232" t="s">
        <v>15</v>
      </c>
      <c r="K232">
        <v>3</v>
      </c>
      <c r="L232" t="s">
        <v>30</v>
      </c>
      <c r="M232" t="s">
        <v>17</v>
      </c>
      <c r="N232">
        <v>56</v>
      </c>
      <c r="O232" t="s">
        <v>18</v>
      </c>
    </row>
    <row r="233" spans="1:15" x14ac:dyDescent="0.2">
      <c r="A233">
        <v>14777</v>
      </c>
      <c r="B233" t="s">
        <v>34</v>
      </c>
      <c r="C233" s="16" t="str">
        <f t="shared" si="6"/>
        <v>Married</v>
      </c>
      <c r="D233" t="s">
        <v>33</v>
      </c>
      <c r="E233" s="16" t="str">
        <f t="shared" si="7"/>
        <v>Female</v>
      </c>
      <c r="F233" s="1">
        <v>40000</v>
      </c>
      <c r="G233">
        <v>0</v>
      </c>
      <c r="H233" t="s">
        <v>13</v>
      </c>
      <c r="I233" t="s">
        <v>20</v>
      </c>
      <c r="J233" t="s">
        <v>15</v>
      </c>
      <c r="K233">
        <v>0</v>
      </c>
      <c r="L233" t="s">
        <v>16</v>
      </c>
      <c r="M233" t="s">
        <v>17</v>
      </c>
      <c r="N233">
        <v>38</v>
      </c>
      <c r="O233" t="s">
        <v>15</v>
      </c>
    </row>
    <row r="234" spans="1:15" x14ac:dyDescent="0.2">
      <c r="A234">
        <v>12591</v>
      </c>
      <c r="B234" t="s">
        <v>34</v>
      </c>
      <c r="C234" s="16" t="str">
        <f t="shared" si="6"/>
        <v>Married</v>
      </c>
      <c r="D234" t="s">
        <v>33</v>
      </c>
      <c r="E234" s="16" t="str">
        <f t="shared" si="7"/>
        <v>Female</v>
      </c>
      <c r="F234" s="1">
        <v>30000</v>
      </c>
      <c r="G234">
        <v>4</v>
      </c>
      <c r="H234" t="s">
        <v>31</v>
      </c>
      <c r="I234" t="s">
        <v>20</v>
      </c>
      <c r="J234" t="s">
        <v>15</v>
      </c>
      <c r="K234">
        <v>0</v>
      </c>
      <c r="L234" t="s">
        <v>16</v>
      </c>
      <c r="M234" t="s">
        <v>17</v>
      </c>
      <c r="N234">
        <v>45</v>
      </c>
      <c r="O234" t="s">
        <v>18</v>
      </c>
    </row>
    <row r="235" spans="1:15" x14ac:dyDescent="0.2">
      <c r="A235">
        <v>24174</v>
      </c>
      <c r="B235" t="s">
        <v>34</v>
      </c>
      <c r="C235" s="16" t="str">
        <f t="shared" si="6"/>
        <v>Married</v>
      </c>
      <c r="D235" t="s">
        <v>34</v>
      </c>
      <c r="E235" s="16" t="str">
        <f t="shared" si="7"/>
        <v>Male</v>
      </c>
      <c r="F235" s="1">
        <v>20000</v>
      </c>
      <c r="G235">
        <v>0</v>
      </c>
      <c r="H235" t="s">
        <v>13</v>
      </c>
      <c r="I235" t="s">
        <v>20</v>
      </c>
      <c r="J235" t="s">
        <v>15</v>
      </c>
      <c r="K235">
        <v>0</v>
      </c>
      <c r="L235" t="s">
        <v>16</v>
      </c>
      <c r="M235" t="s">
        <v>24</v>
      </c>
      <c r="N235">
        <v>27</v>
      </c>
      <c r="O235" t="s">
        <v>15</v>
      </c>
    </row>
    <row r="236" spans="1:15" x14ac:dyDescent="0.2">
      <c r="A236">
        <v>24611</v>
      </c>
      <c r="B236" t="s">
        <v>35</v>
      </c>
      <c r="C236" s="16" t="str">
        <f t="shared" si="6"/>
        <v>Single</v>
      </c>
      <c r="D236" t="s">
        <v>34</v>
      </c>
      <c r="E236" s="16" t="str">
        <f t="shared" si="7"/>
        <v>Male</v>
      </c>
      <c r="F236" s="1">
        <v>90000</v>
      </c>
      <c r="G236">
        <v>0</v>
      </c>
      <c r="H236" t="s">
        <v>13</v>
      </c>
      <c r="I236" t="s">
        <v>21</v>
      </c>
      <c r="J236" t="s">
        <v>18</v>
      </c>
      <c r="K236">
        <v>4</v>
      </c>
      <c r="L236" t="s">
        <v>30</v>
      </c>
      <c r="M236" t="s">
        <v>24</v>
      </c>
      <c r="N236">
        <v>35</v>
      </c>
      <c r="O236" t="s">
        <v>15</v>
      </c>
    </row>
    <row r="237" spans="1:15" x14ac:dyDescent="0.2">
      <c r="A237">
        <v>11340</v>
      </c>
      <c r="B237" t="s">
        <v>34</v>
      </c>
      <c r="C237" s="16" t="str">
        <f t="shared" si="6"/>
        <v>Married</v>
      </c>
      <c r="D237" t="s">
        <v>33</v>
      </c>
      <c r="E237" s="16" t="str">
        <f t="shared" si="7"/>
        <v>Female</v>
      </c>
      <c r="F237" s="1">
        <v>10000</v>
      </c>
      <c r="G237">
        <v>1</v>
      </c>
      <c r="H237" t="s">
        <v>31</v>
      </c>
      <c r="I237" t="s">
        <v>20</v>
      </c>
      <c r="J237" t="s">
        <v>15</v>
      </c>
      <c r="K237">
        <v>0</v>
      </c>
      <c r="L237" t="s">
        <v>16</v>
      </c>
      <c r="M237" t="s">
        <v>17</v>
      </c>
      <c r="N237">
        <v>70</v>
      </c>
      <c r="O237" t="s">
        <v>15</v>
      </c>
    </row>
    <row r="238" spans="1:15" x14ac:dyDescent="0.2">
      <c r="A238">
        <v>25693</v>
      </c>
      <c r="B238" t="s">
        <v>35</v>
      </c>
      <c r="C238" s="16" t="str">
        <f t="shared" si="6"/>
        <v>Single</v>
      </c>
      <c r="D238" t="s">
        <v>33</v>
      </c>
      <c r="E238" s="16" t="str">
        <f t="shared" si="7"/>
        <v>Female</v>
      </c>
      <c r="F238" s="1">
        <v>30000</v>
      </c>
      <c r="G238">
        <v>5</v>
      </c>
      <c r="H238" t="s">
        <v>31</v>
      </c>
      <c r="I238" t="s">
        <v>20</v>
      </c>
      <c r="J238" t="s">
        <v>15</v>
      </c>
      <c r="K238">
        <v>0</v>
      </c>
      <c r="L238" t="s">
        <v>16</v>
      </c>
      <c r="M238" t="s">
        <v>17</v>
      </c>
      <c r="N238">
        <v>44</v>
      </c>
      <c r="O238" t="s">
        <v>15</v>
      </c>
    </row>
    <row r="239" spans="1:15" x14ac:dyDescent="0.2">
      <c r="A239">
        <v>25555</v>
      </c>
      <c r="B239" t="s">
        <v>34</v>
      </c>
      <c r="C239" s="16" t="str">
        <f t="shared" si="6"/>
        <v>Married</v>
      </c>
      <c r="D239" t="s">
        <v>33</v>
      </c>
      <c r="E239" s="16" t="str">
        <f t="shared" si="7"/>
        <v>Female</v>
      </c>
      <c r="F239" s="1">
        <v>10000</v>
      </c>
      <c r="G239">
        <v>0</v>
      </c>
      <c r="H239" t="s">
        <v>19</v>
      </c>
      <c r="I239" t="s">
        <v>25</v>
      </c>
      <c r="J239" t="s">
        <v>18</v>
      </c>
      <c r="K239">
        <v>1</v>
      </c>
      <c r="L239" t="s">
        <v>16</v>
      </c>
      <c r="M239" t="s">
        <v>24</v>
      </c>
      <c r="N239">
        <v>26</v>
      </c>
      <c r="O239" t="s">
        <v>15</v>
      </c>
    </row>
    <row r="240" spans="1:15" x14ac:dyDescent="0.2">
      <c r="A240">
        <v>22006</v>
      </c>
      <c r="B240" t="s">
        <v>34</v>
      </c>
      <c r="C240" s="16" t="str">
        <f t="shared" si="6"/>
        <v>Married</v>
      </c>
      <c r="D240" t="s">
        <v>34</v>
      </c>
      <c r="E240" s="16" t="str">
        <f t="shared" si="7"/>
        <v>Male</v>
      </c>
      <c r="F240" s="1">
        <v>70000</v>
      </c>
      <c r="G240">
        <v>5</v>
      </c>
      <c r="H240" t="s">
        <v>19</v>
      </c>
      <c r="I240" t="s">
        <v>14</v>
      </c>
      <c r="J240" t="s">
        <v>15</v>
      </c>
      <c r="K240">
        <v>3</v>
      </c>
      <c r="L240" t="s">
        <v>23</v>
      </c>
      <c r="M240" t="s">
        <v>24</v>
      </c>
      <c r="N240">
        <v>46</v>
      </c>
      <c r="O240" t="s">
        <v>18</v>
      </c>
    </row>
    <row r="241" spans="1:15" x14ac:dyDescent="0.2">
      <c r="A241">
        <v>20060</v>
      </c>
      <c r="B241" t="s">
        <v>35</v>
      </c>
      <c r="C241" s="16" t="str">
        <f t="shared" si="6"/>
        <v>Single</v>
      </c>
      <c r="D241" t="s">
        <v>33</v>
      </c>
      <c r="E241" s="16" t="str">
        <f t="shared" si="7"/>
        <v>Female</v>
      </c>
      <c r="F241" s="1">
        <v>30000</v>
      </c>
      <c r="G241">
        <v>0</v>
      </c>
      <c r="H241" t="s">
        <v>27</v>
      </c>
      <c r="I241" t="s">
        <v>25</v>
      </c>
      <c r="J241" t="s">
        <v>18</v>
      </c>
      <c r="K241">
        <v>1</v>
      </c>
      <c r="L241" t="s">
        <v>22</v>
      </c>
      <c r="M241" t="s">
        <v>17</v>
      </c>
      <c r="N241">
        <v>34</v>
      </c>
      <c r="O241" t="s">
        <v>15</v>
      </c>
    </row>
    <row r="242" spans="1:15" x14ac:dyDescent="0.2">
      <c r="A242">
        <v>17702</v>
      </c>
      <c r="B242" t="s">
        <v>34</v>
      </c>
      <c r="C242" s="16" t="str">
        <f t="shared" si="6"/>
        <v>Married</v>
      </c>
      <c r="D242" t="s">
        <v>34</v>
      </c>
      <c r="E242" s="16" t="str">
        <f t="shared" si="7"/>
        <v>Male</v>
      </c>
      <c r="F242" s="1">
        <v>10000</v>
      </c>
      <c r="G242">
        <v>1</v>
      </c>
      <c r="H242" t="s">
        <v>31</v>
      </c>
      <c r="I242" t="s">
        <v>25</v>
      </c>
      <c r="J242" t="s">
        <v>15</v>
      </c>
      <c r="K242">
        <v>0</v>
      </c>
      <c r="L242" t="s">
        <v>16</v>
      </c>
      <c r="M242" t="s">
        <v>17</v>
      </c>
      <c r="N242">
        <v>37</v>
      </c>
      <c r="O242" t="s">
        <v>18</v>
      </c>
    </row>
    <row r="243" spans="1:15" x14ac:dyDescent="0.2">
      <c r="A243">
        <v>12503</v>
      </c>
      <c r="B243" t="s">
        <v>35</v>
      </c>
      <c r="C243" s="16" t="str">
        <f t="shared" si="6"/>
        <v>Single</v>
      </c>
      <c r="D243" t="s">
        <v>33</v>
      </c>
      <c r="E243" s="16" t="str">
        <f t="shared" si="7"/>
        <v>Female</v>
      </c>
      <c r="F243" s="1">
        <v>30000</v>
      </c>
      <c r="G243">
        <v>3</v>
      </c>
      <c r="H243" t="s">
        <v>19</v>
      </c>
      <c r="I243" t="s">
        <v>20</v>
      </c>
      <c r="J243" t="s">
        <v>15</v>
      </c>
      <c r="K243">
        <v>2</v>
      </c>
      <c r="L243" t="s">
        <v>16</v>
      </c>
      <c r="M243" t="s">
        <v>17</v>
      </c>
      <c r="N243">
        <v>27</v>
      </c>
      <c r="O243" t="s">
        <v>18</v>
      </c>
    </row>
    <row r="244" spans="1:15" x14ac:dyDescent="0.2">
      <c r="A244">
        <v>23908</v>
      </c>
      <c r="B244" t="s">
        <v>35</v>
      </c>
      <c r="C244" s="16" t="str">
        <f t="shared" si="6"/>
        <v>Single</v>
      </c>
      <c r="D244" t="s">
        <v>34</v>
      </c>
      <c r="E244" s="16" t="str">
        <f t="shared" si="7"/>
        <v>Male</v>
      </c>
      <c r="F244" s="1">
        <v>30000</v>
      </c>
      <c r="G244">
        <v>1</v>
      </c>
      <c r="H244" t="s">
        <v>13</v>
      </c>
      <c r="I244" t="s">
        <v>20</v>
      </c>
      <c r="J244" t="s">
        <v>18</v>
      </c>
      <c r="K244">
        <v>1</v>
      </c>
      <c r="L244" t="s">
        <v>16</v>
      </c>
      <c r="M244" t="s">
        <v>17</v>
      </c>
      <c r="N244">
        <v>39</v>
      </c>
      <c r="O244" t="s">
        <v>15</v>
      </c>
    </row>
    <row r="245" spans="1:15" x14ac:dyDescent="0.2">
      <c r="A245">
        <v>22527</v>
      </c>
      <c r="B245" t="s">
        <v>35</v>
      </c>
      <c r="C245" s="16" t="str">
        <f t="shared" si="6"/>
        <v>Single</v>
      </c>
      <c r="D245" t="s">
        <v>33</v>
      </c>
      <c r="E245" s="16" t="str">
        <f t="shared" si="7"/>
        <v>Female</v>
      </c>
      <c r="F245" s="1">
        <v>20000</v>
      </c>
      <c r="G245">
        <v>0</v>
      </c>
      <c r="H245" t="s">
        <v>27</v>
      </c>
      <c r="I245" t="s">
        <v>25</v>
      </c>
      <c r="J245" t="s">
        <v>18</v>
      </c>
      <c r="K245">
        <v>1</v>
      </c>
      <c r="L245" t="s">
        <v>22</v>
      </c>
      <c r="M245" t="s">
        <v>17</v>
      </c>
      <c r="N245">
        <v>29</v>
      </c>
      <c r="O245" t="s">
        <v>18</v>
      </c>
    </row>
    <row r="246" spans="1:15" x14ac:dyDescent="0.2">
      <c r="A246">
        <v>19057</v>
      </c>
      <c r="B246" t="s">
        <v>34</v>
      </c>
      <c r="C246" s="16" t="str">
        <f t="shared" si="6"/>
        <v>Married</v>
      </c>
      <c r="D246" t="s">
        <v>33</v>
      </c>
      <c r="E246" s="16" t="str">
        <f t="shared" si="7"/>
        <v>Female</v>
      </c>
      <c r="F246" s="1">
        <v>120000</v>
      </c>
      <c r="G246">
        <v>3</v>
      </c>
      <c r="H246" t="s">
        <v>13</v>
      </c>
      <c r="I246" t="s">
        <v>28</v>
      </c>
      <c r="J246" t="s">
        <v>18</v>
      </c>
      <c r="K246">
        <v>2</v>
      </c>
      <c r="L246" t="s">
        <v>30</v>
      </c>
      <c r="M246" t="s">
        <v>17</v>
      </c>
      <c r="N246">
        <v>52</v>
      </c>
      <c r="O246" t="s">
        <v>15</v>
      </c>
    </row>
    <row r="247" spans="1:15" x14ac:dyDescent="0.2">
      <c r="A247">
        <v>18494</v>
      </c>
      <c r="B247" t="s">
        <v>34</v>
      </c>
      <c r="C247" s="16" t="str">
        <f t="shared" si="6"/>
        <v>Married</v>
      </c>
      <c r="D247" t="s">
        <v>34</v>
      </c>
      <c r="E247" s="16" t="str">
        <f t="shared" si="7"/>
        <v>Male</v>
      </c>
      <c r="F247" s="1">
        <v>110000</v>
      </c>
      <c r="G247">
        <v>5</v>
      </c>
      <c r="H247" t="s">
        <v>13</v>
      </c>
      <c r="I247" t="s">
        <v>28</v>
      </c>
      <c r="J247" t="s">
        <v>15</v>
      </c>
      <c r="K247">
        <v>4</v>
      </c>
      <c r="L247" t="s">
        <v>22</v>
      </c>
      <c r="M247" t="s">
        <v>24</v>
      </c>
      <c r="N247">
        <v>48</v>
      </c>
      <c r="O247" t="s">
        <v>15</v>
      </c>
    </row>
    <row r="248" spans="1:15" x14ac:dyDescent="0.2">
      <c r="A248">
        <v>11249</v>
      </c>
      <c r="B248" t="s">
        <v>34</v>
      </c>
      <c r="C248" s="16" t="str">
        <f t="shared" si="6"/>
        <v>Married</v>
      </c>
      <c r="D248" t="s">
        <v>33</v>
      </c>
      <c r="E248" s="16" t="str">
        <f t="shared" si="7"/>
        <v>Female</v>
      </c>
      <c r="F248" s="1">
        <v>130000</v>
      </c>
      <c r="G248">
        <v>3</v>
      </c>
      <c r="H248" t="s">
        <v>19</v>
      </c>
      <c r="I248" t="s">
        <v>21</v>
      </c>
      <c r="J248" t="s">
        <v>15</v>
      </c>
      <c r="K248">
        <v>3</v>
      </c>
      <c r="L248" t="s">
        <v>16</v>
      </c>
      <c r="M248" t="s">
        <v>17</v>
      </c>
      <c r="N248">
        <v>51</v>
      </c>
      <c r="O248" t="s">
        <v>15</v>
      </c>
    </row>
    <row r="249" spans="1:15" x14ac:dyDescent="0.2">
      <c r="A249">
        <v>21568</v>
      </c>
      <c r="B249" t="s">
        <v>34</v>
      </c>
      <c r="C249" s="16" t="str">
        <f t="shared" si="6"/>
        <v>Married</v>
      </c>
      <c r="D249" t="s">
        <v>33</v>
      </c>
      <c r="E249" s="16" t="str">
        <f t="shared" si="7"/>
        <v>Female</v>
      </c>
      <c r="F249" s="1">
        <v>100000</v>
      </c>
      <c r="G249">
        <v>0</v>
      </c>
      <c r="H249" t="s">
        <v>27</v>
      </c>
      <c r="I249" t="s">
        <v>28</v>
      </c>
      <c r="J249" t="s">
        <v>15</v>
      </c>
      <c r="K249">
        <v>4</v>
      </c>
      <c r="L249" t="s">
        <v>30</v>
      </c>
      <c r="M249" t="s">
        <v>24</v>
      </c>
      <c r="N249">
        <v>34</v>
      </c>
      <c r="O249" t="s">
        <v>15</v>
      </c>
    </row>
    <row r="250" spans="1:15" x14ac:dyDescent="0.2">
      <c r="A250">
        <v>13981</v>
      </c>
      <c r="B250" t="s">
        <v>34</v>
      </c>
      <c r="C250" s="16" t="str">
        <f t="shared" si="6"/>
        <v>Married</v>
      </c>
      <c r="D250" t="s">
        <v>33</v>
      </c>
      <c r="E250" s="16" t="str">
        <f t="shared" si="7"/>
        <v>Female</v>
      </c>
      <c r="F250" s="1">
        <v>10000</v>
      </c>
      <c r="G250">
        <v>5</v>
      </c>
      <c r="H250" t="s">
        <v>27</v>
      </c>
      <c r="I250" t="s">
        <v>14</v>
      </c>
      <c r="J250" t="s">
        <v>18</v>
      </c>
      <c r="K250">
        <v>3</v>
      </c>
      <c r="L250" t="s">
        <v>26</v>
      </c>
      <c r="M250" t="s">
        <v>24</v>
      </c>
      <c r="N250">
        <v>62</v>
      </c>
      <c r="O250" t="s">
        <v>18</v>
      </c>
    </row>
    <row r="251" spans="1:15" x14ac:dyDescent="0.2">
      <c r="A251">
        <v>23432</v>
      </c>
      <c r="B251" t="s">
        <v>35</v>
      </c>
      <c r="C251" s="16" t="str">
        <f t="shared" si="6"/>
        <v>Single</v>
      </c>
      <c r="D251" t="s">
        <v>34</v>
      </c>
      <c r="E251" s="16" t="str">
        <f t="shared" si="7"/>
        <v>Male</v>
      </c>
      <c r="F251" s="1">
        <v>70000</v>
      </c>
      <c r="G251">
        <v>0</v>
      </c>
      <c r="H251" t="s">
        <v>13</v>
      </c>
      <c r="I251" t="s">
        <v>21</v>
      </c>
      <c r="J251" t="s">
        <v>15</v>
      </c>
      <c r="K251">
        <v>1</v>
      </c>
      <c r="L251" t="s">
        <v>23</v>
      </c>
      <c r="M251" t="s">
        <v>24</v>
      </c>
      <c r="N251">
        <v>37</v>
      </c>
      <c r="O251" t="s">
        <v>15</v>
      </c>
    </row>
    <row r="252" spans="1:15" x14ac:dyDescent="0.2">
      <c r="A252">
        <v>22931</v>
      </c>
      <c r="B252" t="s">
        <v>34</v>
      </c>
      <c r="C252" s="16" t="str">
        <f t="shared" si="6"/>
        <v>Married</v>
      </c>
      <c r="D252" t="s">
        <v>34</v>
      </c>
      <c r="E252" s="16" t="str">
        <f t="shared" si="7"/>
        <v>Male</v>
      </c>
      <c r="F252" s="1">
        <v>100000</v>
      </c>
      <c r="G252">
        <v>5</v>
      </c>
      <c r="H252" t="s">
        <v>31</v>
      </c>
      <c r="I252" t="s">
        <v>28</v>
      </c>
      <c r="J252" t="s">
        <v>18</v>
      </c>
      <c r="K252">
        <v>1</v>
      </c>
      <c r="L252" t="s">
        <v>26</v>
      </c>
      <c r="M252" t="s">
        <v>24</v>
      </c>
      <c r="N252">
        <v>78</v>
      </c>
      <c r="O252" t="s">
        <v>15</v>
      </c>
    </row>
    <row r="253" spans="1:15" x14ac:dyDescent="0.2">
      <c r="A253">
        <v>18172</v>
      </c>
      <c r="B253" t="s">
        <v>34</v>
      </c>
      <c r="C253" s="16" t="str">
        <f t="shared" si="6"/>
        <v>Married</v>
      </c>
      <c r="D253" t="s">
        <v>34</v>
      </c>
      <c r="E253" s="16" t="str">
        <f t="shared" si="7"/>
        <v>Male</v>
      </c>
      <c r="F253" s="1">
        <v>130000</v>
      </c>
      <c r="G253">
        <v>4</v>
      </c>
      <c r="H253" t="s">
        <v>27</v>
      </c>
      <c r="I253" t="s">
        <v>21</v>
      </c>
      <c r="J253" t="s">
        <v>15</v>
      </c>
      <c r="K253">
        <v>3</v>
      </c>
      <c r="L253" t="s">
        <v>16</v>
      </c>
      <c r="M253" t="s">
        <v>17</v>
      </c>
      <c r="N253">
        <v>55</v>
      </c>
      <c r="O253" t="s">
        <v>18</v>
      </c>
    </row>
    <row r="254" spans="1:15" x14ac:dyDescent="0.2">
      <c r="A254">
        <v>12666</v>
      </c>
      <c r="B254" t="s">
        <v>35</v>
      </c>
      <c r="C254" s="16" t="str">
        <f t="shared" si="6"/>
        <v>Single</v>
      </c>
      <c r="D254" t="s">
        <v>34</v>
      </c>
      <c r="E254" s="16" t="str">
        <f t="shared" si="7"/>
        <v>Male</v>
      </c>
      <c r="F254" s="1">
        <v>60000</v>
      </c>
      <c r="G254">
        <v>0</v>
      </c>
      <c r="H254" t="s">
        <v>13</v>
      </c>
      <c r="I254" t="s">
        <v>21</v>
      </c>
      <c r="J254" t="s">
        <v>18</v>
      </c>
      <c r="K254">
        <v>4</v>
      </c>
      <c r="L254" t="s">
        <v>22</v>
      </c>
      <c r="M254" t="s">
        <v>24</v>
      </c>
      <c r="N254">
        <v>31</v>
      </c>
      <c r="O254" t="s">
        <v>18</v>
      </c>
    </row>
    <row r="255" spans="1:15" x14ac:dyDescent="0.2">
      <c r="A255">
        <v>20598</v>
      </c>
      <c r="B255" t="s">
        <v>34</v>
      </c>
      <c r="C255" s="16" t="str">
        <f t="shared" si="6"/>
        <v>Married</v>
      </c>
      <c r="D255" t="s">
        <v>34</v>
      </c>
      <c r="E255" s="16" t="str">
        <f t="shared" si="7"/>
        <v>Male</v>
      </c>
      <c r="F255" s="1">
        <v>100000</v>
      </c>
      <c r="G255">
        <v>3</v>
      </c>
      <c r="H255" t="s">
        <v>29</v>
      </c>
      <c r="I255" t="s">
        <v>21</v>
      </c>
      <c r="J255" t="s">
        <v>15</v>
      </c>
      <c r="K255">
        <v>0</v>
      </c>
      <c r="L255" t="s">
        <v>30</v>
      </c>
      <c r="M255" t="s">
        <v>17</v>
      </c>
      <c r="N255">
        <v>59</v>
      </c>
      <c r="O255" t="s">
        <v>15</v>
      </c>
    </row>
    <row r="256" spans="1:15" x14ac:dyDescent="0.2">
      <c r="A256">
        <v>21375</v>
      </c>
      <c r="B256" t="s">
        <v>35</v>
      </c>
      <c r="C256" s="16" t="str">
        <f t="shared" si="6"/>
        <v>Single</v>
      </c>
      <c r="D256" t="s">
        <v>34</v>
      </c>
      <c r="E256" s="16" t="str">
        <f t="shared" si="7"/>
        <v>Male</v>
      </c>
      <c r="F256" s="1">
        <v>20000</v>
      </c>
      <c r="G256">
        <v>2</v>
      </c>
      <c r="H256" t="s">
        <v>29</v>
      </c>
      <c r="I256" t="s">
        <v>20</v>
      </c>
      <c r="J256" t="s">
        <v>15</v>
      </c>
      <c r="K256">
        <v>2</v>
      </c>
      <c r="L256" t="s">
        <v>23</v>
      </c>
      <c r="M256" t="s">
        <v>24</v>
      </c>
      <c r="N256">
        <v>57</v>
      </c>
      <c r="O256" t="s">
        <v>18</v>
      </c>
    </row>
    <row r="257" spans="1:15" x14ac:dyDescent="0.2">
      <c r="A257">
        <v>20839</v>
      </c>
      <c r="B257" t="s">
        <v>35</v>
      </c>
      <c r="C257" s="16" t="str">
        <f t="shared" si="6"/>
        <v>Single</v>
      </c>
      <c r="D257" t="s">
        <v>33</v>
      </c>
      <c r="E257" s="16" t="str">
        <f t="shared" si="7"/>
        <v>Female</v>
      </c>
      <c r="F257" s="1">
        <v>30000</v>
      </c>
      <c r="G257">
        <v>3</v>
      </c>
      <c r="H257" t="s">
        <v>31</v>
      </c>
      <c r="I257" t="s">
        <v>20</v>
      </c>
      <c r="J257" t="s">
        <v>15</v>
      </c>
      <c r="K257">
        <v>0</v>
      </c>
      <c r="L257" t="s">
        <v>16</v>
      </c>
      <c r="M257" t="s">
        <v>17</v>
      </c>
      <c r="N257">
        <v>47</v>
      </c>
      <c r="O257" t="s">
        <v>15</v>
      </c>
    </row>
    <row r="258" spans="1:15" x14ac:dyDescent="0.2">
      <c r="A258">
        <v>21738</v>
      </c>
      <c r="B258" t="s">
        <v>34</v>
      </c>
      <c r="C258" s="16" t="str">
        <f t="shared" ref="C258:C321" si="8">IF(B258="M","Married","Single")</f>
        <v>Married</v>
      </c>
      <c r="D258" t="s">
        <v>34</v>
      </c>
      <c r="E258" s="16" t="str">
        <f t="shared" ref="E258:E321" si="9">IF(D258="F","Female","Male")</f>
        <v>Male</v>
      </c>
      <c r="F258" s="1">
        <v>20000</v>
      </c>
      <c r="G258">
        <v>1</v>
      </c>
      <c r="H258" t="s">
        <v>31</v>
      </c>
      <c r="I258" t="s">
        <v>20</v>
      </c>
      <c r="J258" t="s">
        <v>15</v>
      </c>
      <c r="K258">
        <v>0</v>
      </c>
      <c r="L258" t="s">
        <v>16</v>
      </c>
      <c r="M258" t="s">
        <v>17</v>
      </c>
      <c r="N258">
        <v>43</v>
      </c>
      <c r="O258" t="s">
        <v>18</v>
      </c>
    </row>
    <row r="259" spans="1:15" x14ac:dyDescent="0.2">
      <c r="A259">
        <v>14164</v>
      </c>
      <c r="B259" t="s">
        <v>35</v>
      </c>
      <c r="C259" s="16" t="str">
        <f t="shared" si="8"/>
        <v>Single</v>
      </c>
      <c r="D259" t="s">
        <v>33</v>
      </c>
      <c r="E259" s="16" t="str">
        <f t="shared" si="9"/>
        <v>Female</v>
      </c>
      <c r="F259" s="1">
        <v>50000</v>
      </c>
      <c r="G259">
        <v>0</v>
      </c>
      <c r="H259" t="s">
        <v>31</v>
      </c>
      <c r="I259" t="s">
        <v>14</v>
      </c>
      <c r="J259" t="s">
        <v>15</v>
      </c>
      <c r="K259">
        <v>0</v>
      </c>
      <c r="L259" t="s">
        <v>16</v>
      </c>
      <c r="M259" t="s">
        <v>17</v>
      </c>
      <c r="N259">
        <v>36</v>
      </c>
      <c r="O259" t="s">
        <v>15</v>
      </c>
    </row>
    <row r="260" spans="1:15" x14ac:dyDescent="0.2">
      <c r="A260">
        <v>14193</v>
      </c>
      <c r="B260" t="s">
        <v>35</v>
      </c>
      <c r="C260" s="16" t="str">
        <f t="shared" si="8"/>
        <v>Single</v>
      </c>
      <c r="D260" t="s">
        <v>33</v>
      </c>
      <c r="E260" s="16" t="str">
        <f t="shared" si="9"/>
        <v>Female</v>
      </c>
      <c r="F260" s="1">
        <v>100000</v>
      </c>
      <c r="G260">
        <v>3</v>
      </c>
      <c r="H260" t="s">
        <v>19</v>
      </c>
      <c r="I260" t="s">
        <v>28</v>
      </c>
      <c r="J260" t="s">
        <v>15</v>
      </c>
      <c r="K260">
        <v>4</v>
      </c>
      <c r="L260" t="s">
        <v>30</v>
      </c>
      <c r="M260" t="s">
        <v>17</v>
      </c>
      <c r="N260">
        <v>56</v>
      </c>
      <c r="O260" t="s">
        <v>18</v>
      </c>
    </row>
    <row r="261" spans="1:15" x14ac:dyDescent="0.2">
      <c r="A261">
        <v>12705</v>
      </c>
      <c r="B261" t="s">
        <v>34</v>
      </c>
      <c r="C261" s="16" t="str">
        <f t="shared" si="8"/>
        <v>Married</v>
      </c>
      <c r="D261" t="s">
        <v>34</v>
      </c>
      <c r="E261" s="16" t="str">
        <f t="shared" si="9"/>
        <v>Male</v>
      </c>
      <c r="F261" s="1">
        <v>150000</v>
      </c>
      <c r="G261">
        <v>0</v>
      </c>
      <c r="H261" t="s">
        <v>13</v>
      </c>
      <c r="I261" t="s">
        <v>28</v>
      </c>
      <c r="J261" t="s">
        <v>15</v>
      </c>
      <c r="K261">
        <v>4</v>
      </c>
      <c r="L261" t="s">
        <v>16</v>
      </c>
      <c r="M261" t="s">
        <v>24</v>
      </c>
      <c r="N261">
        <v>37</v>
      </c>
      <c r="O261" t="s">
        <v>15</v>
      </c>
    </row>
    <row r="262" spans="1:15" x14ac:dyDescent="0.2">
      <c r="A262">
        <v>22672</v>
      </c>
      <c r="B262" t="s">
        <v>35</v>
      </c>
      <c r="C262" s="16" t="str">
        <f t="shared" si="8"/>
        <v>Single</v>
      </c>
      <c r="D262" t="s">
        <v>33</v>
      </c>
      <c r="E262" s="16" t="str">
        <f t="shared" si="9"/>
        <v>Female</v>
      </c>
      <c r="F262" s="1">
        <v>30000</v>
      </c>
      <c r="G262">
        <v>2</v>
      </c>
      <c r="H262" t="s">
        <v>19</v>
      </c>
      <c r="I262" t="s">
        <v>20</v>
      </c>
      <c r="J262" t="s">
        <v>15</v>
      </c>
      <c r="K262">
        <v>0</v>
      </c>
      <c r="L262" t="s">
        <v>16</v>
      </c>
      <c r="M262" t="s">
        <v>17</v>
      </c>
      <c r="N262">
        <v>43</v>
      </c>
      <c r="O262" t="s">
        <v>18</v>
      </c>
    </row>
    <row r="263" spans="1:15" x14ac:dyDescent="0.2">
      <c r="A263">
        <v>26219</v>
      </c>
      <c r="B263" t="s">
        <v>34</v>
      </c>
      <c r="C263" s="16" t="str">
        <f t="shared" si="8"/>
        <v>Married</v>
      </c>
      <c r="D263" t="s">
        <v>33</v>
      </c>
      <c r="E263" s="16" t="str">
        <f t="shared" si="9"/>
        <v>Female</v>
      </c>
      <c r="F263" s="1">
        <v>40000</v>
      </c>
      <c r="G263">
        <v>1</v>
      </c>
      <c r="H263" t="s">
        <v>13</v>
      </c>
      <c r="I263" t="s">
        <v>14</v>
      </c>
      <c r="J263" t="s">
        <v>15</v>
      </c>
      <c r="K263">
        <v>1</v>
      </c>
      <c r="L263" t="s">
        <v>26</v>
      </c>
      <c r="M263" t="s">
        <v>17</v>
      </c>
      <c r="N263">
        <v>33</v>
      </c>
      <c r="O263" t="s">
        <v>15</v>
      </c>
    </row>
    <row r="264" spans="1:15" x14ac:dyDescent="0.2">
      <c r="A264">
        <v>28468</v>
      </c>
      <c r="B264" t="s">
        <v>34</v>
      </c>
      <c r="C264" s="16" t="str">
        <f t="shared" si="8"/>
        <v>Married</v>
      </c>
      <c r="D264" t="s">
        <v>33</v>
      </c>
      <c r="E264" s="16" t="str">
        <f t="shared" si="9"/>
        <v>Female</v>
      </c>
      <c r="F264" s="1">
        <v>10000</v>
      </c>
      <c r="G264">
        <v>2</v>
      </c>
      <c r="H264" t="s">
        <v>19</v>
      </c>
      <c r="I264" t="s">
        <v>25</v>
      </c>
      <c r="J264" t="s">
        <v>15</v>
      </c>
      <c r="K264">
        <v>0</v>
      </c>
      <c r="L264" t="s">
        <v>26</v>
      </c>
      <c r="M264" t="s">
        <v>17</v>
      </c>
      <c r="N264">
        <v>51</v>
      </c>
      <c r="O264" t="s">
        <v>18</v>
      </c>
    </row>
    <row r="265" spans="1:15" x14ac:dyDescent="0.2">
      <c r="A265">
        <v>23419</v>
      </c>
      <c r="B265" t="s">
        <v>35</v>
      </c>
      <c r="C265" s="16" t="str">
        <f t="shared" si="8"/>
        <v>Single</v>
      </c>
      <c r="D265" t="s">
        <v>33</v>
      </c>
      <c r="E265" s="16" t="str">
        <f t="shared" si="9"/>
        <v>Female</v>
      </c>
      <c r="F265" s="1">
        <v>70000</v>
      </c>
      <c r="G265">
        <v>5</v>
      </c>
      <c r="H265" t="s">
        <v>13</v>
      </c>
      <c r="I265" t="s">
        <v>21</v>
      </c>
      <c r="J265" t="s">
        <v>15</v>
      </c>
      <c r="K265">
        <v>3</v>
      </c>
      <c r="L265" t="s">
        <v>30</v>
      </c>
      <c r="M265" t="s">
        <v>24</v>
      </c>
      <c r="N265">
        <v>39</v>
      </c>
      <c r="O265" t="s">
        <v>18</v>
      </c>
    </row>
    <row r="266" spans="1:15" x14ac:dyDescent="0.2">
      <c r="A266">
        <v>17964</v>
      </c>
      <c r="B266" t="s">
        <v>34</v>
      </c>
      <c r="C266" s="16" t="str">
        <f t="shared" si="8"/>
        <v>Married</v>
      </c>
      <c r="D266" t="s">
        <v>34</v>
      </c>
      <c r="E266" s="16" t="str">
        <f t="shared" si="9"/>
        <v>Male</v>
      </c>
      <c r="F266" s="1">
        <v>40000</v>
      </c>
      <c r="G266">
        <v>0</v>
      </c>
      <c r="H266" t="s">
        <v>31</v>
      </c>
      <c r="I266" t="s">
        <v>20</v>
      </c>
      <c r="J266" t="s">
        <v>15</v>
      </c>
      <c r="K266">
        <v>0</v>
      </c>
      <c r="L266" t="s">
        <v>16</v>
      </c>
      <c r="M266" t="s">
        <v>17</v>
      </c>
      <c r="N266">
        <v>37</v>
      </c>
      <c r="O266" t="s">
        <v>15</v>
      </c>
    </row>
    <row r="267" spans="1:15" x14ac:dyDescent="0.2">
      <c r="A267">
        <v>20919</v>
      </c>
      <c r="B267" t="s">
        <v>35</v>
      </c>
      <c r="C267" s="16" t="str">
        <f t="shared" si="8"/>
        <v>Single</v>
      </c>
      <c r="D267" t="s">
        <v>33</v>
      </c>
      <c r="E267" s="16" t="str">
        <f t="shared" si="9"/>
        <v>Female</v>
      </c>
      <c r="F267" s="1">
        <v>30000</v>
      </c>
      <c r="G267">
        <v>2</v>
      </c>
      <c r="H267" t="s">
        <v>19</v>
      </c>
      <c r="I267" t="s">
        <v>20</v>
      </c>
      <c r="J267" t="s">
        <v>15</v>
      </c>
      <c r="K267">
        <v>2</v>
      </c>
      <c r="L267" t="s">
        <v>16</v>
      </c>
      <c r="M267" t="s">
        <v>17</v>
      </c>
      <c r="N267">
        <v>42</v>
      </c>
      <c r="O267" t="s">
        <v>18</v>
      </c>
    </row>
    <row r="268" spans="1:15" x14ac:dyDescent="0.2">
      <c r="A268">
        <v>20927</v>
      </c>
      <c r="B268" t="s">
        <v>35</v>
      </c>
      <c r="C268" s="16" t="str">
        <f t="shared" si="8"/>
        <v>Single</v>
      </c>
      <c r="D268" t="s">
        <v>33</v>
      </c>
      <c r="E268" s="16" t="str">
        <f t="shared" si="9"/>
        <v>Female</v>
      </c>
      <c r="F268" s="1">
        <v>20000</v>
      </c>
      <c r="G268">
        <v>5</v>
      </c>
      <c r="H268" t="s">
        <v>27</v>
      </c>
      <c r="I268" t="s">
        <v>25</v>
      </c>
      <c r="J268" t="s">
        <v>15</v>
      </c>
      <c r="K268">
        <v>2</v>
      </c>
      <c r="L268" t="s">
        <v>16</v>
      </c>
      <c r="M268" t="s">
        <v>17</v>
      </c>
      <c r="N268">
        <v>27</v>
      </c>
      <c r="O268" t="s">
        <v>18</v>
      </c>
    </row>
    <row r="269" spans="1:15" x14ac:dyDescent="0.2">
      <c r="A269">
        <v>13133</v>
      </c>
      <c r="B269" t="s">
        <v>35</v>
      </c>
      <c r="C269" s="16" t="str">
        <f t="shared" si="8"/>
        <v>Single</v>
      </c>
      <c r="D269" t="s">
        <v>34</v>
      </c>
      <c r="E269" s="16" t="str">
        <f t="shared" si="9"/>
        <v>Male</v>
      </c>
      <c r="F269" s="1">
        <v>100000</v>
      </c>
      <c r="G269">
        <v>5</v>
      </c>
      <c r="H269" t="s">
        <v>13</v>
      </c>
      <c r="I269" t="s">
        <v>21</v>
      </c>
      <c r="J269" t="s">
        <v>15</v>
      </c>
      <c r="K269">
        <v>1</v>
      </c>
      <c r="L269" t="s">
        <v>23</v>
      </c>
      <c r="M269" t="s">
        <v>24</v>
      </c>
      <c r="N269">
        <v>47</v>
      </c>
      <c r="O269" t="s">
        <v>15</v>
      </c>
    </row>
    <row r="270" spans="1:15" x14ac:dyDescent="0.2">
      <c r="A270">
        <v>19626</v>
      </c>
      <c r="B270" t="s">
        <v>34</v>
      </c>
      <c r="C270" s="16" t="str">
        <f t="shared" si="8"/>
        <v>Married</v>
      </c>
      <c r="D270" t="s">
        <v>34</v>
      </c>
      <c r="E270" s="16" t="str">
        <f t="shared" si="9"/>
        <v>Male</v>
      </c>
      <c r="F270" s="1">
        <v>70000</v>
      </c>
      <c r="G270">
        <v>5</v>
      </c>
      <c r="H270" t="s">
        <v>19</v>
      </c>
      <c r="I270" t="s">
        <v>14</v>
      </c>
      <c r="J270" t="s">
        <v>15</v>
      </c>
      <c r="K270">
        <v>3</v>
      </c>
      <c r="L270" t="s">
        <v>23</v>
      </c>
      <c r="M270" t="s">
        <v>24</v>
      </c>
      <c r="N270">
        <v>45</v>
      </c>
      <c r="O270" t="s">
        <v>18</v>
      </c>
    </row>
    <row r="271" spans="1:15" x14ac:dyDescent="0.2">
      <c r="A271">
        <v>21039</v>
      </c>
      <c r="B271" t="s">
        <v>35</v>
      </c>
      <c r="C271" s="16" t="str">
        <f t="shared" si="8"/>
        <v>Single</v>
      </c>
      <c r="D271" t="s">
        <v>33</v>
      </c>
      <c r="E271" s="16" t="str">
        <f t="shared" si="9"/>
        <v>Female</v>
      </c>
      <c r="F271" s="1">
        <v>50000</v>
      </c>
      <c r="G271">
        <v>0</v>
      </c>
      <c r="H271" t="s">
        <v>31</v>
      </c>
      <c r="I271" t="s">
        <v>14</v>
      </c>
      <c r="J271" t="s">
        <v>18</v>
      </c>
      <c r="K271">
        <v>0</v>
      </c>
      <c r="L271" t="s">
        <v>16</v>
      </c>
      <c r="M271" t="s">
        <v>17</v>
      </c>
      <c r="N271">
        <v>37</v>
      </c>
      <c r="O271" t="s">
        <v>15</v>
      </c>
    </row>
    <row r="272" spans="1:15" x14ac:dyDescent="0.2">
      <c r="A272">
        <v>12231</v>
      </c>
      <c r="B272" t="s">
        <v>35</v>
      </c>
      <c r="C272" s="16" t="str">
        <f t="shared" si="8"/>
        <v>Single</v>
      </c>
      <c r="D272" t="s">
        <v>33</v>
      </c>
      <c r="E272" s="16" t="str">
        <f t="shared" si="9"/>
        <v>Female</v>
      </c>
      <c r="F272" s="1">
        <v>10000</v>
      </c>
      <c r="G272">
        <v>2</v>
      </c>
      <c r="H272" t="s">
        <v>19</v>
      </c>
      <c r="I272" t="s">
        <v>25</v>
      </c>
      <c r="J272" t="s">
        <v>15</v>
      </c>
      <c r="K272">
        <v>0</v>
      </c>
      <c r="L272" t="s">
        <v>16</v>
      </c>
      <c r="M272" t="s">
        <v>17</v>
      </c>
      <c r="N272">
        <v>51</v>
      </c>
      <c r="O272" t="s">
        <v>15</v>
      </c>
    </row>
    <row r="273" spans="1:15" x14ac:dyDescent="0.2">
      <c r="A273">
        <v>25665</v>
      </c>
      <c r="B273" t="s">
        <v>35</v>
      </c>
      <c r="C273" s="16" t="str">
        <f t="shared" si="8"/>
        <v>Single</v>
      </c>
      <c r="D273" t="s">
        <v>33</v>
      </c>
      <c r="E273" s="16" t="str">
        <f t="shared" si="9"/>
        <v>Female</v>
      </c>
      <c r="F273" s="1">
        <v>20000</v>
      </c>
      <c r="G273">
        <v>0</v>
      </c>
      <c r="H273" t="s">
        <v>27</v>
      </c>
      <c r="I273" t="s">
        <v>25</v>
      </c>
      <c r="J273" t="s">
        <v>18</v>
      </c>
      <c r="K273">
        <v>1</v>
      </c>
      <c r="L273" t="s">
        <v>26</v>
      </c>
      <c r="M273" t="s">
        <v>17</v>
      </c>
      <c r="N273">
        <v>28</v>
      </c>
      <c r="O273" t="s">
        <v>18</v>
      </c>
    </row>
    <row r="274" spans="1:15" x14ac:dyDescent="0.2">
      <c r="A274">
        <v>24061</v>
      </c>
      <c r="B274" t="s">
        <v>34</v>
      </c>
      <c r="C274" s="16" t="str">
        <f t="shared" si="8"/>
        <v>Married</v>
      </c>
      <c r="D274" t="s">
        <v>34</v>
      </c>
      <c r="E274" s="16" t="str">
        <f t="shared" si="9"/>
        <v>Male</v>
      </c>
      <c r="F274" s="1">
        <v>10000</v>
      </c>
      <c r="G274">
        <v>4</v>
      </c>
      <c r="H274" t="s">
        <v>29</v>
      </c>
      <c r="I274" t="s">
        <v>25</v>
      </c>
      <c r="J274" t="s">
        <v>15</v>
      </c>
      <c r="K274">
        <v>1</v>
      </c>
      <c r="L274" t="s">
        <v>16</v>
      </c>
      <c r="M274" t="s">
        <v>17</v>
      </c>
      <c r="N274">
        <v>40</v>
      </c>
      <c r="O274" t="s">
        <v>15</v>
      </c>
    </row>
    <row r="275" spans="1:15" x14ac:dyDescent="0.2">
      <c r="A275">
        <v>26879</v>
      </c>
      <c r="B275" t="s">
        <v>35</v>
      </c>
      <c r="C275" s="16" t="str">
        <f t="shared" si="8"/>
        <v>Single</v>
      </c>
      <c r="D275" t="s">
        <v>33</v>
      </c>
      <c r="E275" s="16" t="str">
        <f t="shared" si="9"/>
        <v>Female</v>
      </c>
      <c r="F275" s="1">
        <v>20000</v>
      </c>
      <c r="G275">
        <v>0</v>
      </c>
      <c r="H275" t="s">
        <v>27</v>
      </c>
      <c r="I275" t="s">
        <v>25</v>
      </c>
      <c r="J275" t="s">
        <v>18</v>
      </c>
      <c r="K275">
        <v>1</v>
      </c>
      <c r="L275" t="s">
        <v>22</v>
      </c>
      <c r="M275" t="s">
        <v>17</v>
      </c>
      <c r="N275">
        <v>30</v>
      </c>
      <c r="O275" t="s">
        <v>18</v>
      </c>
    </row>
    <row r="276" spans="1:15" x14ac:dyDescent="0.2">
      <c r="A276">
        <v>12284</v>
      </c>
      <c r="B276" t="s">
        <v>34</v>
      </c>
      <c r="C276" s="16" t="str">
        <f t="shared" si="8"/>
        <v>Married</v>
      </c>
      <c r="D276" t="s">
        <v>33</v>
      </c>
      <c r="E276" s="16" t="str">
        <f t="shared" si="9"/>
        <v>Female</v>
      </c>
      <c r="F276" s="1">
        <v>30000</v>
      </c>
      <c r="G276">
        <v>0</v>
      </c>
      <c r="H276" t="s">
        <v>13</v>
      </c>
      <c r="I276" t="s">
        <v>20</v>
      </c>
      <c r="J276" t="s">
        <v>18</v>
      </c>
      <c r="K276">
        <v>0</v>
      </c>
      <c r="L276" t="s">
        <v>16</v>
      </c>
      <c r="M276" t="s">
        <v>17</v>
      </c>
      <c r="N276">
        <v>36</v>
      </c>
      <c r="O276" t="s">
        <v>15</v>
      </c>
    </row>
    <row r="277" spans="1:15" x14ac:dyDescent="0.2">
      <c r="A277">
        <v>26654</v>
      </c>
      <c r="B277" t="s">
        <v>34</v>
      </c>
      <c r="C277" s="16" t="str">
        <f t="shared" si="8"/>
        <v>Married</v>
      </c>
      <c r="D277" t="s">
        <v>33</v>
      </c>
      <c r="E277" s="16" t="str">
        <f t="shared" si="9"/>
        <v>Female</v>
      </c>
      <c r="F277" s="1">
        <v>90000</v>
      </c>
      <c r="G277">
        <v>1</v>
      </c>
      <c r="H277" t="s">
        <v>31</v>
      </c>
      <c r="I277" t="s">
        <v>28</v>
      </c>
      <c r="J277" t="s">
        <v>15</v>
      </c>
      <c r="K277">
        <v>0</v>
      </c>
      <c r="L277" t="s">
        <v>16</v>
      </c>
      <c r="M277" t="s">
        <v>24</v>
      </c>
      <c r="N277">
        <v>37</v>
      </c>
      <c r="O277" t="s">
        <v>15</v>
      </c>
    </row>
    <row r="278" spans="1:15" x14ac:dyDescent="0.2">
      <c r="A278">
        <v>14545</v>
      </c>
      <c r="B278" t="s">
        <v>34</v>
      </c>
      <c r="C278" s="16" t="str">
        <f t="shared" si="8"/>
        <v>Married</v>
      </c>
      <c r="D278" t="s">
        <v>33</v>
      </c>
      <c r="E278" s="16" t="str">
        <f t="shared" si="9"/>
        <v>Female</v>
      </c>
      <c r="F278" s="1">
        <v>10000</v>
      </c>
      <c r="G278">
        <v>2</v>
      </c>
      <c r="H278" t="s">
        <v>19</v>
      </c>
      <c r="I278" t="s">
        <v>25</v>
      </c>
      <c r="J278" t="s">
        <v>15</v>
      </c>
      <c r="K278">
        <v>0</v>
      </c>
      <c r="L278" t="s">
        <v>26</v>
      </c>
      <c r="M278" t="s">
        <v>17</v>
      </c>
      <c r="N278">
        <v>49</v>
      </c>
      <c r="O278" t="s">
        <v>18</v>
      </c>
    </row>
    <row r="279" spans="1:15" x14ac:dyDescent="0.2">
      <c r="A279">
        <v>24201</v>
      </c>
      <c r="B279" t="s">
        <v>34</v>
      </c>
      <c r="C279" s="16" t="str">
        <f t="shared" si="8"/>
        <v>Married</v>
      </c>
      <c r="D279" t="s">
        <v>33</v>
      </c>
      <c r="E279" s="16" t="str">
        <f t="shared" si="9"/>
        <v>Female</v>
      </c>
      <c r="F279" s="1">
        <v>10000</v>
      </c>
      <c r="G279">
        <v>2</v>
      </c>
      <c r="H279" t="s">
        <v>27</v>
      </c>
      <c r="I279" t="s">
        <v>25</v>
      </c>
      <c r="J279" t="s">
        <v>15</v>
      </c>
      <c r="K279">
        <v>0</v>
      </c>
      <c r="L279" t="s">
        <v>16</v>
      </c>
      <c r="M279" t="s">
        <v>17</v>
      </c>
      <c r="N279">
        <v>37</v>
      </c>
      <c r="O279" t="s">
        <v>15</v>
      </c>
    </row>
    <row r="280" spans="1:15" x14ac:dyDescent="0.2">
      <c r="A280">
        <v>20625</v>
      </c>
      <c r="B280" t="s">
        <v>34</v>
      </c>
      <c r="C280" s="16" t="str">
        <f t="shared" si="8"/>
        <v>Married</v>
      </c>
      <c r="D280" t="s">
        <v>34</v>
      </c>
      <c r="E280" s="16" t="str">
        <f t="shared" si="9"/>
        <v>Male</v>
      </c>
      <c r="F280" s="1">
        <v>100000</v>
      </c>
      <c r="G280">
        <v>0</v>
      </c>
      <c r="H280" t="s">
        <v>27</v>
      </c>
      <c r="I280" t="s">
        <v>28</v>
      </c>
      <c r="J280" t="s">
        <v>15</v>
      </c>
      <c r="K280">
        <v>3</v>
      </c>
      <c r="L280" t="s">
        <v>30</v>
      </c>
      <c r="M280" t="s">
        <v>24</v>
      </c>
      <c r="N280">
        <v>35</v>
      </c>
      <c r="O280" t="s">
        <v>15</v>
      </c>
    </row>
    <row r="281" spans="1:15" x14ac:dyDescent="0.2">
      <c r="A281">
        <v>16390</v>
      </c>
      <c r="B281" t="s">
        <v>35</v>
      </c>
      <c r="C281" s="16" t="str">
        <f t="shared" si="8"/>
        <v>Single</v>
      </c>
      <c r="D281" t="s">
        <v>34</v>
      </c>
      <c r="E281" s="16" t="str">
        <f t="shared" si="9"/>
        <v>Male</v>
      </c>
      <c r="F281" s="1">
        <v>30000</v>
      </c>
      <c r="G281">
        <v>1</v>
      </c>
      <c r="H281" t="s">
        <v>13</v>
      </c>
      <c r="I281" t="s">
        <v>20</v>
      </c>
      <c r="J281" t="s">
        <v>18</v>
      </c>
      <c r="K281">
        <v>0</v>
      </c>
      <c r="L281" t="s">
        <v>16</v>
      </c>
      <c r="M281" t="s">
        <v>17</v>
      </c>
      <c r="N281">
        <v>38</v>
      </c>
      <c r="O281" t="s">
        <v>15</v>
      </c>
    </row>
    <row r="282" spans="1:15" x14ac:dyDescent="0.2">
      <c r="A282">
        <v>14804</v>
      </c>
      <c r="B282" t="s">
        <v>35</v>
      </c>
      <c r="C282" s="16" t="str">
        <f t="shared" si="8"/>
        <v>Single</v>
      </c>
      <c r="D282" t="s">
        <v>33</v>
      </c>
      <c r="E282" s="16" t="str">
        <f t="shared" si="9"/>
        <v>Female</v>
      </c>
      <c r="F282" s="1">
        <v>10000</v>
      </c>
      <c r="G282">
        <v>3</v>
      </c>
      <c r="H282" t="s">
        <v>29</v>
      </c>
      <c r="I282" t="s">
        <v>25</v>
      </c>
      <c r="J282" t="s">
        <v>15</v>
      </c>
      <c r="K282">
        <v>2</v>
      </c>
      <c r="L282" t="s">
        <v>16</v>
      </c>
      <c r="M282" t="s">
        <v>17</v>
      </c>
      <c r="N282">
        <v>43</v>
      </c>
      <c r="O282" t="s">
        <v>18</v>
      </c>
    </row>
    <row r="283" spans="1:15" x14ac:dyDescent="0.2">
      <c r="A283">
        <v>12629</v>
      </c>
      <c r="B283" t="s">
        <v>35</v>
      </c>
      <c r="C283" s="16" t="str">
        <f t="shared" si="8"/>
        <v>Single</v>
      </c>
      <c r="D283" t="s">
        <v>34</v>
      </c>
      <c r="E283" s="16" t="str">
        <f t="shared" si="9"/>
        <v>Male</v>
      </c>
      <c r="F283" s="1">
        <v>20000</v>
      </c>
      <c r="G283">
        <v>1</v>
      </c>
      <c r="H283" t="s">
        <v>19</v>
      </c>
      <c r="I283" t="s">
        <v>25</v>
      </c>
      <c r="J283" t="s">
        <v>18</v>
      </c>
      <c r="K283">
        <v>0</v>
      </c>
      <c r="L283" t="s">
        <v>16</v>
      </c>
      <c r="M283" t="s">
        <v>17</v>
      </c>
      <c r="N283">
        <v>37</v>
      </c>
      <c r="O283" t="s">
        <v>18</v>
      </c>
    </row>
    <row r="284" spans="1:15" x14ac:dyDescent="0.2">
      <c r="A284">
        <v>14696</v>
      </c>
      <c r="B284" t="s">
        <v>35</v>
      </c>
      <c r="C284" s="16" t="str">
        <f t="shared" si="8"/>
        <v>Single</v>
      </c>
      <c r="D284" t="s">
        <v>34</v>
      </c>
      <c r="E284" s="16" t="str">
        <f t="shared" si="9"/>
        <v>Male</v>
      </c>
      <c r="F284" s="1">
        <v>10000</v>
      </c>
      <c r="G284">
        <v>0</v>
      </c>
      <c r="H284" t="s">
        <v>29</v>
      </c>
      <c r="I284" t="s">
        <v>25</v>
      </c>
      <c r="J284" t="s">
        <v>18</v>
      </c>
      <c r="K284">
        <v>2</v>
      </c>
      <c r="L284" t="s">
        <v>16</v>
      </c>
      <c r="M284" t="s">
        <v>17</v>
      </c>
      <c r="N284">
        <v>34</v>
      </c>
      <c r="O284" t="s">
        <v>18</v>
      </c>
    </row>
    <row r="285" spans="1:15" x14ac:dyDescent="0.2">
      <c r="A285">
        <v>22005</v>
      </c>
      <c r="B285" t="s">
        <v>34</v>
      </c>
      <c r="C285" s="16" t="str">
        <f t="shared" si="8"/>
        <v>Married</v>
      </c>
      <c r="D285" t="s">
        <v>33</v>
      </c>
      <c r="E285" s="16" t="str">
        <f t="shared" si="9"/>
        <v>Female</v>
      </c>
      <c r="F285" s="1">
        <v>70000</v>
      </c>
      <c r="G285">
        <v>5</v>
      </c>
      <c r="H285" t="s">
        <v>19</v>
      </c>
      <c r="I285" t="s">
        <v>14</v>
      </c>
      <c r="J285" t="s">
        <v>18</v>
      </c>
      <c r="K285">
        <v>3</v>
      </c>
      <c r="L285" t="s">
        <v>23</v>
      </c>
      <c r="M285" t="s">
        <v>24</v>
      </c>
      <c r="N285">
        <v>46</v>
      </c>
      <c r="O285" t="s">
        <v>18</v>
      </c>
    </row>
    <row r="286" spans="1:15" x14ac:dyDescent="0.2">
      <c r="A286">
        <v>14544</v>
      </c>
      <c r="B286" t="s">
        <v>35</v>
      </c>
      <c r="C286" s="16" t="str">
        <f t="shared" si="8"/>
        <v>Single</v>
      </c>
      <c r="D286" t="s">
        <v>34</v>
      </c>
      <c r="E286" s="16" t="str">
        <f t="shared" si="9"/>
        <v>Male</v>
      </c>
      <c r="F286" s="1">
        <v>10000</v>
      </c>
      <c r="G286">
        <v>1</v>
      </c>
      <c r="H286" t="s">
        <v>19</v>
      </c>
      <c r="I286" t="s">
        <v>25</v>
      </c>
      <c r="J286" t="s">
        <v>15</v>
      </c>
      <c r="K286">
        <v>0</v>
      </c>
      <c r="L286" t="s">
        <v>16</v>
      </c>
      <c r="M286" t="s">
        <v>17</v>
      </c>
      <c r="N286">
        <v>49</v>
      </c>
      <c r="O286" t="s">
        <v>18</v>
      </c>
    </row>
    <row r="287" spans="1:15" x14ac:dyDescent="0.2">
      <c r="A287">
        <v>14312</v>
      </c>
      <c r="B287" t="s">
        <v>34</v>
      </c>
      <c r="C287" s="16" t="str">
        <f t="shared" si="8"/>
        <v>Married</v>
      </c>
      <c r="D287" t="s">
        <v>33</v>
      </c>
      <c r="E287" s="16" t="str">
        <f t="shared" si="9"/>
        <v>Female</v>
      </c>
      <c r="F287" s="1">
        <v>60000</v>
      </c>
      <c r="G287">
        <v>1</v>
      </c>
      <c r="H287" t="s">
        <v>19</v>
      </c>
      <c r="I287" t="s">
        <v>14</v>
      </c>
      <c r="J287" t="s">
        <v>15</v>
      </c>
      <c r="K287">
        <v>1</v>
      </c>
      <c r="L287" t="s">
        <v>23</v>
      </c>
      <c r="M287" t="s">
        <v>24</v>
      </c>
      <c r="N287">
        <v>45</v>
      </c>
      <c r="O287" t="s">
        <v>18</v>
      </c>
    </row>
    <row r="288" spans="1:15" x14ac:dyDescent="0.2">
      <c r="A288">
        <v>29120</v>
      </c>
      <c r="B288" t="s">
        <v>35</v>
      </c>
      <c r="C288" s="16" t="str">
        <f t="shared" si="8"/>
        <v>Single</v>
      </c>
      <c r="D288" t="s">
        <v>33</v>
      </c>
      <c r="E288" s="16" t="str">
        <f t="shared" si="9"/>
        <v>Female</v>
      </c>
      <c r="F288" s="1">
        <v>100000</v>
      </c>
      <c r="G288">
        <v>1</v>
      </c>
      <c r="H288" t="s">
        <v>13</v>
      </c>
      <c r="I288" t="s">
        <v>28</v>
      </c>
      <c r="J288" t="s">
        <v>15</v>
      </c>
      <c r="K288">
        <v>4</v>
      </c>
      <c r="L288" t="s">
        <v>22</v>
      </c>
      <c r="M288" t="s">
        <v>24</v>
      </c>
      <c r="N288">
        <v>48</v>
      </c>
      <c r="O288" t="s">
        <v>18</v>
      </c>
    </row>
    <row r="289" spans="1:15" x14ac:dyDescent="0.2">
      <c r="A289">
        <v>24187</v>
      </c>
      <c r="B289" t="s">
        <v>35</v>
      </c>
      <c r="C289" s="16" t="str">
        <f t="shared" si="8"/>
        <v>Single</v>
      </c>
      <c r="D289" t="s">
        <v>33</v>
      </c>
      <c r="E289" s="16" t="str">
        <f t="shared" si="9"/>
        <v>Female</v>
      </c>
      <c r="F289" s="1">
        <v>30000</v>
      </c>
      <c r="G289">
        <v>3</v>
      </c>
      <c r="H289" t="s">
        <v>31</v>
      </c>
      <c r="I289" t="s">
        <v>20</v>
      </c>
      <c r="J289" t="s">
        <v>18</v>
      </c>
      <c r="K289">
        <v>0</v>
      </c>
      <c r="L289" t="s">
        <v>16</v>
      </c>
      <c r="M289" t="s">
        <v>17</v>
      </c>
      <c r="N289">
        <v>46</v>
      </c>
      <c r="O289" t="s">
        <v>15</v>
      </c>
    </row>
    <row r="290" spans="1:15" x14ac:dyDescent="0.2">
      <c r="A290">
        <v>15758</v>
      </c>
      <c r="B290" t="s">
        <v>34</v>
      </c>
      <c r="C290" s="16" t="str">
        <f t="shared" si="8"/>
        <v>Married</v>
      </c>
      <c r="D290" t="s">
        <v>34</v>
      </c>
      <c r="E290" s="16" t="str">
        <f t="shared" si="9"/>
        <v>Male</v>
      </c>
      <c r="F290" s="1">
        <v>130000</v>
      </c>
      <c r="G290">
        <v>0</v>
      </c>
      <c r="H290" t="s">
        <v>31</v>
      </c>
      <c r="I290" t="s">
        <v>28</v>
      </c>
      <c r="J290" t="s">
        <v>15</v>
      </c>
      <c r="K290">
        <v>0</v>
      </c>
      <c r="L290" t="s">
        <v>23</v>
      </c>
      <c r="M290" t="s">
        <v>24</v>
      </c>
      <c r="N290">
        <v>48</v>
      </c>
      <c r="O290" t="s">
        <v>18</v>
      </c>
    </row>
    <row r="291" spans="1:15" x14ac:dyDescent="0.2">
      <c r="A291">
        <v>29094</v>
      </c>
      <c r="B291" t="s">
        <v>34</v>
      </c>
      <c r="C291" s="16" t="str">
        <f t="shared" si="8"/>
        <v>Married</v>
      </c>
      <c r="D291" t="s">
        <v>34</v>
      </c>
      <c r="E291" s="16" t="str">
        <f t="shared" si="9"/>
        <v>Male</v>
      </c>
      <c r="F291" s="1">
        <v>30000</v>
      </c>
      <c r="G291">
        <v>3</v>
      </c>
      <c r="H291" t="s">
        <v>27</v>
      </c>
      <c r="I291" t="s">
        <v>14</v>
      </c>
      <c r="J291" t="s">
        <v>15</v>
      </c>
      <c r="K291">
        <v>2</v>
      </c>
      <c r="L291" t="s">
        <v>23</v>
      </c>
      <c r="M291" t="s">
        <v>24</v>
      </c>
      <c r="N291">
        <v>54</v>
      </c>
      <c r="O291" t="s">
        <v>15</v>
      </c>
    </row>
    <row r="292" spans="1:15" x14ac:dyDescent="0.2">
      <c r="A292">
        <v>28319</v>
      </c>
      <c r="B292" t="s">
        <v>35</v>
      </c>
      <c r="C292" s="16" t="str">
        <f t="shared" si="8"/>
        <v>Single</v>
      </c>
      <c r="D292" t="s">
        <v>33</v>
      </c>
      <c r="E292" s="16" t="str">
        <f t="shared" si="9"/>
        <v>Female</v>
      </c>
      <c r="F292" s="1">
        <v>60000</v>
      </c>
      <c r="G292">
        <v>1</v>
      </c>
      <c r="H292" t="s">
        <v>19</v>
      </c>
      <c r="I292" t="s">
        <v>14</v>
      </c>
      <c r="J292" t="s">
        <v>18</v>
      </c>
      <c r="K292">
        <v>1</v>
      </c>
      <c r="L292" t="s">
        <v>16</v>
      </c>
      <c r="M292" t="s">
        <v>24</v>
      </c>
      <c r="N292">
        <v>46</v>
      </c>
      <c r="O292" t="s">
        <v>15</v>
      </c>
    </row>
    <row r="293" spans="1:15" x14ac:dyDescent="0.2">
      <c r="A293">
        <v>16406</v>
      </c>
      <c r="B293" t="s">
        <v>34</v>
      </c>
      <c r="C293" s="16" t="str">
        <f t="shared" si="8"/>
        <v>Married</v>
      </c>
      <c r="D293" t="s">
        <v>34</v>
      </c>
      <c r="E293" s="16" t="str">
        <f t="shared" si="9"/>
        <v>Male</v>
      </c>
      <c r="F293" s="1">
        <v>40000</v>
      </c>
      <c r="G293">
        <v>0</v>
      </c>
      <c r="H293" t="s">
        <v>13</v>
      </c>
      <c r="I293" t="s">
        <v>20</v>
      </c>
      <c r="J293" t="s">
        <v>18</v>
      </c>
      <c r="K293">
        <v>0</v>
      </c>
      <c r="L293" t="s">
        <v>16</v>
      </c>
      <c r="M293" t="s">
        <v>17</v>
      </c>
      <c r="N293">
        <v>38</v>
      </c>
      <c r="O293" t="s">
        <v>15</v>
      </c>
    </row>
    <row r="294" spans="1:15" x14ac:dyDescent="0.2">
      <c r="A294">
        <v>20923</v>
      </c>
      <c r="B294" t="s">
        <v>34</v>
      </c>
      <c r="C294" s="16" t="str">
        <f t="shared" si="8"/>
        <v>Married</v>
      </c>
      <c r="D294" t="s">
        <v>33</v>
      </c>
      <c r="E294" s="16" t="str">
        <f t="shared" si="9"/>
        <v>Female</v>
      </c>
      <c r="F294" s="1">
        <v>40000</v>
      </c>
      <c r="G294">
        <v>1</v>
      </c>
      <c r="H294" t="s">
        <v>13</v>
      </c>
      <c r="I294" t="s">
        <v>14</v>
      </c>
      <c r="J294" t="s">
        <v>15</v>
      </c>
      <c r="K294">
        <v>0</v>
      </c>
      <c r="L294" t="s">
        <v>16</v>
      </c>
      <c r="M294" t="s">
        <v>17</v>
      </c>
      <c r="N294">
        <v>42</v>
      </c>
      <c r="O294" t="s">
        <v>15</v>
      </c>
    </row>
    <row r="295" spans="1:15" x14ac:dyDescent="0.2">
      <c r="A295">
        <v>11378</v>
      </c>
      <c r="B295" t="s">
        <v>35</v>
      </c>
      <c r="C295" s="16" t="str">
        <f t="shared" si="8"/>
        <v>Single</v>
      </c>
      <c r="D295" t="s">
        <v>33</v>
      </c>
      <c r="E295" s="16" t="str">
        <f t="shared" si="9"/>
        <v>Female</v>
      </c>
      <c r="F295" s="1">
        <v>10000</v>
      </c>
      <c r="G295">
        <v>1</v>
      </c>
      <c r="H295" t="s">
        <v>27</v>
      </c>
      <c r="I295" t="s">
        <v>25</v>
      </c>
      <c r="J295" t="s">
        <v>18</v>
      </c>
      <c r="K295">
        <v>1</v>
      </c>
      <c r="L295" t="s">
        <v>22</v>
      </c>
      <c r="M295" t="s">
        <v>17</v>
      </c>
      <c r="N295">
        <v>46</v>
      </c>
      <c r="O295" t="s">
        <v>15</v>
      </c>
    </row>
    <row r="296" spans="1:15" x14ac:dyDescent="0.2">
      <c r="A296">
        <v>20851</v>
      </c>
      <c r="B296" t="s">
        <v>35</v>
      </c>
      <c r="C296" s="16" t="str">
        <f t="shared" si="8"/>
        <v>Single</v>
      </c>
      <c r="D296" t="s">
        <v>34</v>
      </c>
      <c r="E296" s="16" t="str">
        <f t="shared" si="9"/>
        <v>Male</v>
      </c>
      <c r="F296" s="1">
        <v>20000</v>
      </c>
      <c r="G296">
        <v>0</v>
      </c>
      <c r="H296" t="s">
        <v>19</v>
      </c>
      <c r="I296" t="s">
        <v>25</v>
      </c>
      <c r="J296" t="s">
        <v>18</v>
      </c>
      <c r="K296">
        <v>1</v>
      </c>
      <c r="L296" t="s">
        <v>22</v>
      </c>
      <c r="M296" t="s">
        <v>17</v>
      </c>
      <c r="N296">
        <v>36</v>
      </c>
      <c r="O296" t="s">
        <v>15</v>
      </c>
    </row>
    <row r="297" spans="1:15" x14ac:dyDescent="0.2">
      <c r="A297">
        <v>21557</v>
      </c>
      <c r="B297" t="s">
        <v>35</v>
      </c>
      <c r="C297" s="16" t="str">
        <f t="shared" si="8"/>
        <v>Single</v>
      </c>
      <c r="D297" t="s">
        <v>33</v>
      </c>
      <c r="E297" s="16" t="str">
        <f t="shared" si="9"/>
        <v>Female</v>
      </c>
      <c r="F297" s="1">
        <v>110000</v>
      </c>
      <c r="G297">
        <v>0</v>
      </c>
      <c r="H297" t="s">
        <v>19</v>
      </c>
      <c r="I297" t="s">
        <v>28</v>
      </c>
      <c r="J297" t="s">
        <v>15</v>
      </c>
      <c r="K297">
        <v>3</v>
      </c>
      <c r="L297" t="s">
        <v>30</v>
      </c>
      <c r="M297" t="s">
        <v>24</v>
      </c>
      <c r="N297">
        <v>32</v>
      </c>
      <c r="O297" t="s">
        <v>15</v>
      </c>
    </row>
    <row r="298" spans="1:15" x14ac:dyDescent="0.2">
      <c r="A298">
        <v>26663</v>
      </c>
      <c r="B298" t="s">
        <v>35</v>
      </c>
      <c r="C298" s="16" t="str">
        <f t="shared" si="8"/>
        <v>Single</v>
      </c>
      <c r="D298" t="s">
        <v>33</v>
      </c>
      <c r="E298" s="16" t="str">
        <f t="shared" si="9"/>
        <v>Female</v>
      </c>
      <c r="F298" s="1">
        <v>60000</v>
      </c>
      <c r="G298">
        <v>2</v>
      </c>
      <c r="H298" t="s">
        <v>13</v>
      </c>
      <c r="I298" t="s">
        <v>21</v>
      </c>
      <c r="J298" t="s">
        <v>18</v>
      </c>
      <c r="K298">
        <v>1</v>
      </c>
      <c r="L298" t="s">
        <v>16</v>
      </c>
      <c r="M298" t="s">
        <v>24</v>
      </c>
      <c r="N298">
        <v>39</v>
      </c>
      <c r="O298" t="s">
        <v>15</v>
      </c>
    </row>
    <row r="299" spans="1:15" x14ac:dyDescent="0.2">
      <c r="A299">
        <v>11896</v>
      </c>
      <c r="B299" t="s">
        <v>34</v>
      </c>
      <c r="C299" s="16" t="str">
        <f t="shared" si="8"/>
        <v>Married</v>
      </c>
      <c r="D299" t="s">
        <v>34</v>
      </c>
      <c r="E299" s="16" t="str">
        <f t="shared" si="9"/>
        <v>Male</v>
      </c>
      <c r="F299" s="1">
        <v>100000</v>
      </c>
      <c r="G299">
        <v>1</v>
      </c>
      <c r="H299" t="s">
        <v>31</v>
      </c>
      <c r="I299" t="s">
        <v>28</v>
      </c>
      <c r="J299" t="s">
        <v>15</v>
      </c>
      <c r="K299">
        <v>0</v>
      </c>
      <c r="L299" t="s">
        <v>22</v>
      </c>
      <c r="M299" t="s">
        <v>24</v>
      </c>
      <c r="N299">
        <v>36</v>
      </c>
      <c r="O299" t="s">
        <v>15</v>
      </c>
    </row>
    <row r="300" spans="1:15" x14ac:dyDescent="0.2">
      <c r="A300">
        <v>14189</v>
      </c>
      <c r="B300" t="s">
        <v>34</v>
      </c>
      <c r="C300" s="16" t="str">
        <f t="shared" si="8"/>
        <v>Married</v>
      </c>
      <c r="D300" t="s">
        <v>33</v>
      </c>
      <c r="E300" s="16" t="str">
        <f t="shared" si="9"/>
        <v>Female</v>
      </c>
      <c r="F300" s="1">
        <v>90000</v>
      </c>
      <c r="G300">
        <v>4</v>
      </c>
      <c r="H300" t="s">
        <v>27</v>
      </c>
      <c r="I300" t="s">
        <v>21</v>
      </c>
      <c r="J300" t="s">
        <v>18</v>
      </c>
      <c r="K300">
        <v>2</v>
      </c>
      <c r="L300" t="s">
        <v>22</v>
      </c>
      <c r="M300" t="s">
        <v>17</v>
      </c>
      <c r="N300">
        <v>54</v>
      </c>
      <c r="O300" t="s">
        <v>15</v>
      </c>
    </row>
    <row r="301" spans="1:15" x14ac:dyDescent="0.2">
      <c r="A301">
        <v>13136</v>
      </c>
      <c r="B301" t="s">
        <v>34</v>
      </c>
      <c r="C301" s="16" t="str">
        <f t="shared" si="8"/>
        <v>Married</v>
      </c>
      <c r="D301" t="s">
        <v>33</v>
      </c>
      <c r="E301" s="16" t="str">
        <f t="shared" si="9"/>
        <v>Female</v>
      </c>
      <c r="F301" s="1">
        <v>30000</v>
      </c>
      <c r="G301">
        <v>2</v>
      </c>
      <c r="H301" t="s">
        <v>19</v>
      </c>
      <c r="I301" t="s">
        <v>20</v>
      </c>
      <c r="J301" t="s">
        <v>18</v>
      </c>
      <c r="K301">
        <v>2</v>
      </c>
      <c r="L301" t="s">
        <v>23</v>
      </c>
      <c r="M301" t="s">
        <v>24</v>
      </c>
      <c r="N301">
        <v>69</v>
      </c>
      <c r="O301" t="s">
        <v>18</v>
      </c>
    </row>
    <row r="302" spans="1:15" x14ac:dyDescent="0.2">
      <c r="A302">
        <v>25906</v>
      </c>
      <c r="B302" t="s">
        <v>35</v>
      </c>
      <c r="C302" s="16" t="str">
        <f t="shared" si="8"/>
        <v>Single</v>
      </c>
      <c r="D302" t="s">
        <v>33</v>
      </c>
      <c r="E302" s="16" t="str">
        <f t="shared" si="9"/>
        <v>Female</v>
      </c>
      <c r="F302" s="1">
        <v>10000</v>
      </c>
      <c r="G302">
        <v>5</v>
      </c>
      <c r="H302" t="s">
        <v>27</v>
      </c>
      <c r="I302" t="s">
        <v>14</v>
      </c>
      <c r="J302" t="s">
        <v>18</v>
      </c>
      <c r="K302">
        <v>2</v>
      </c>
      <c r="L302" t="s">
        <v>26</v>
      </c>
      <c r="M302" t="s">
        <v>24</v>
      </c>
      <c r="N302">
        <v>62</v>
      </c>
      <c r="O302" t="s">
        <v>18</v>
      </c>
    </row>
    <row r="303" spans="1:15" x14ac:dyDescent="0.2">
      <c r="A303">
        <v>17926</v>
      </c>
      <c r="B303" t="s">
        <v>35</v>
      </c>
      <c r="C303" s="16" t="str">
        <f t="shared" si="8"/>
        <v>Single</v>
      </c>
      <c r="D303" t="s">
        <v>33</v>
      </c>
      <c r="E303" s="16" t="str">
        <f t="shared" si="9"/>
        <v>Female</v>
      </c>
      <c r="F303" s="1">
        <v>40000</v>
      </c>
      <c r="G303">
        <v>0</v>
      </c>
      <c r="H303" t="s">
        <v>13</v>
      </c>
      <c r="I303" t="s">
        <v>20</v>
      </c>
      <c r="J303" t="s">
        <v>18</v>
      </c>
      <c r="K303">
        <v>0</v>
      </c>
      <c r="L303" t="s">
        <v>16</v>
      </c>
      <c r="M303" t="s">
        <v>24</v>
      </c>
      <c r="N303">
        <v>28</v>
      </c>
      <c r="O303" t="s">
        <v>15</v>
      </c>
    </row>
    <row r="304" spans="1:15" x14ac:dyDescent="0.2">
      <c r="A304">
        <v>26928</v>
      </c>
      <c r="B304" t="s">
        <v>35</v>
      </c>
      <c r="C304" s="16" t="str">
        <f t="shared" si="8"/>
        <v>Single</v>
      </c>
      <c r="D304" t="s">
        <v>34</v>
      </c>
      <c r="E304" s="16" t="str">
        <f t="shared" si="9"/>
        <v>Male</v>
      </c>
      <c r="F304" s="1">
        <v>30000</v>
      </c>
      <c r="G304">
        <v>1</v>
      </c>
      <c r="H304" t="s">
        <v>13</v>
      </c>
      <c r="I304" t="s">
        <v>20</v>
      </c>
      <c r="J304" t="s">
        <v>15</v>
      </c>
      <c r="K304">
        <v>0</v>
      </c>
      <c r="L304" t="s">
        <v>16</v>
      </c>
      <c r="M304" t="s">
        <v>17</v>
      </c>
      <c r="N304">
        <v>62</v>
      </c>
      <c r="O304" t="s">
        <v>15</v>
      </c>
    </row>
    <row r="305" spans="1:15" x14ac:dyDescent="0.2">
      <c r="A305">
        <v>20897</v>
      </c>
      <c r="B305" t="s">
        <v>34</v>
      </c>
      <c r="C305" s="16" t="str">
        <f t="shared" si="8"/>
        <v>Married</v>
      </c>
      <c r="D305" t="s">
        <v>33</v>
      </c>
      <c r="E305" s="16" t="str">
        <f t="shared" si="9"/>
        <v>Female</v>
      </c>
      <c r="F305" s="1">
        <v>30000</v>
      </c>
      <c r="G305">
        <v>1</v>
      </c>
      <c r="H305" t="s">
        <v>13</v>
      </c>
      <c r="I305" t="s">
        <v>14</v>
      </c>
      <c r="J305" t="s">
        <v>15</v>
      </c>
      <c r="K305">
        <v>2</v>
      </c>
      <c r="L305" t="s">
        <v>16</v>
      </c>
      <c r="M305" t="s">
        <v>17</v>
      </c>
      <c r="N305">
        <v>40</v>
      </c>
      <c r="O305" t="s">
        <v>18</v>
      </c>
    </row>
    <row r="306" spans="1:15" x14ac:dyDescent="0.2">
      <c r="A306">
        <v>28207</v>
      </c>
      <c r="B306" t="s">
        <v>34</v>
      </c>
      <c r="C306" s="16" t="str">
        <f t="shared" si="8"/>
        <v>Married</v>
      </c>
      <c r="D306" t="s">
        <v>34</v>
      </c>
      <c r="E306" s="16" t="str">
        <f t="shared" si="9"/>
        <v>Male</v>
      </c>
      <c r="F306" s="1">
        <v>80000</v>
      </c>
      <c r="G306">
        <v>4</v>
      </c>
      <c r="H306" t="s">
        <v>31</v>
      </c>
      <c r="I306" t="s">
        <v>28</v>
      </c>
      <c r="J306" t="s">
        <v>15</v>
      </c>
      <c r="K306">
        <v>1</v>
      </c>
      <c r="L306" t="s">
        <v>16</v>
      </c>
      <c r="M306" t="s">
        <v>24</v>
      </c>
      <c r="N306">
        <v>36</v>
      </c>
      <c r="O306" t="s">
        <v>15</v>
      </c>
    </row>
    <row r="307" spans="1:15" x14ac:dyDescent="0.2">
      <c r="A307">
        <v>25923</v>
      </c>
      <c r="B307" t="s">
        <v>35</v>
      </c>
      <c r="C307" s="16" t="str">
        <f t="shared" si="8"/>
        <v>Single</v>
      </c>
      <c r="D307" t="s">
        <v>34</v>
      </c>
      <c r="E307" s="16" t="str">
        <f t="shared" si="9"/>
        <v>Male</v>
      </c>
      <c r="F307" s="1">
        <v>10000</v>
      </c>
      <c r="G307">
        <v>2</v>
      </c>
      <c r="H307" t="s">
        <v>29</v>
      </c>
      <c r="I307" t="s">
        <v>20</v>
      </c>
      <c r="J307" t="s">
        <v>15</v>
      </c>
      <c r="K307">
        <v>2</v>
      </c>
      <c r="L307" t="s">
        <v>23</v>
      </c>
      <c r="M307" t="s">
        <v>24</v>
      </c>
      <c r="N307">
        <v>58</v>
      </c>
      <c r="O307" t="s">
        <v>18</v>
      </c>
    </row>
    <row r="308" spans="1:15" x14ac:dyDescent="0.2">
      <c r="A308">
        <v>11000</v>
      </c>
      <c r="B308" t="s">
        <v>34</v>
      </c>
      <c r="C308" s="16" t="str">
        <f t="shared" si="8"/>
        <v>Married</v>
      </c>
      <c r="D308" t="s">
        <v>34</v>
      </c>
      <c r="E308" s="16" t="str">
        <f t="shared" si="9"/>
        <v>Male</v>
      </c>
      <c r="F308" s="1">
        <v>90000</v>
      </c>
      <c r="G308">
        <v>2</v>
      </c>
      <c r="H308" t="s">
        <v>13</v>
      </c>
      <c r="I308" t="s">
        <v>21</v>
      </c>
      <c r="J308" t="s">
        <v>15</v>
      </c>
      <c r="K308">
        <v>0</v>
      </c>
      <c r="L308" t="s">
        <v>26</v>
      </c>
      <c r="M308" t="s">
        <v>24</v>
      </c>
      <c r="N308">
        <v>40</v>
      </c>
      <c r="O308" t="s">
        <v>15</v>
      </c>
    </row>
    <row r="309" spans="1:15" x14ac:dyDescent="0.2">
      <c r="A309">
        <v>20974</v>
      </c>
      <c r="B309" t="s">
        <v>34</v>
      </c>
      <c r="C309" s="16" t="str">
        <f t="shared" si="8"/>
        <v>Married</v>
      </c>
      <c r="D309" t="s">
        <v>34</v>
      </c>
      <c r="E309" s="16" t="str">
        <f t="shared" si="9"/>
        <v>Male</v>
      </c>
      <c r="F309" s="1">
        <v>10000</v>
      </c>
      <c r="G309">
        <v>2</v>
      </c>
      <c r="H309" t="s">
        <v>13</v>
      </c>
      <c r="I309" t="s">
        <v>20</v>
      </c>
      <c r="J309" t="s">
        <v>15</v>
      </c>
      <c r="K309">
        <v>1</v>
      </c>
      <c r="L309" t="s">
        <v>16</v>
      </c>
      <c r="M309" t="s">
        <v>17</v>
      </c>
      <c r="N309">
        <v>66</v>
      </c>
      <c r="O309" t="s">
        <v>18</v>
      </c>
    </row>
    <row r="310" spans="1:15" x14ac:dyDescent="0.2">
      <c r="A310">
        <v>28758</v>
      </c>
      <c r="B310" t="s">
        <v>34</v>
      </c>
      <c r="C310" s="16" t="str">
        <f t="shared" si="8"/>
        <v>Married</v>
      </c>
      <c r="D310" t="s">
        <v>34</v>
      </c>
      <c r="E310" s="16" t="str">
        <f t="shared" si="9"/>
        <v>Male</v>
      </c>
      <c r="F310" s="1">
        <v>40000</v>
      </c>
      <c r="G310">
        <v>2</v>
      </c>
      <c r="H310" t="s">
        <v>19</v>
      </c>
      <c r="I310" t="s">
        <v>20</v>
      </c>
      <c r="J310" t="s">
        <v>15</v>
      </c>
      <c r="K310">
        <v>1</v>
      </c>
      <c r="L310" t="s">
        <v>26</v>
      </c>
      <c r="M310" t="s">
        <v>17</v>
      </c>
      <c r="N310">
        <v>35</v>
      </c>
      <c r="O310" t="s">
        <v>15</v>
      </c>
    </row>
    <row r="311" spans="1:15" x14ac:dyDescent="0.2">
      <c r="A311">
        <v>11381</v>
      </c>
      <c r="B311" t="s">
        <v>34</v>
      </c>
      <c r="C311" s="16" t="str">
        <f t="shared" si="8"/>
        <v>Married</v>
      </c>
      <c r="D311" t="s">
        <v>33</v>
      </c>
      <c r="E311" s="16" t="str">
        <f t="shared" si="9"/>
        <v>Female</v>
      </c>
      <c r="F311" s="1">
        <v>20000</v>
      </c>
      <c r="G311">
        <v>2</v>
      </c>
      <c r="H311" t="s">
        <v>19</v>
      </c>
      <c r="I311" t="s">
        <v>25</v>
      </c>
      <c r="J311" t="s">
        <v>15</v>
      </c>
      <c r="K311">
        <v>1</v>
      </c>
      <c r="L311" t="s">
        <v>22</v>
      </c>
      <c r="M311" t="s">
        <v>17</v>
      </c>
      <c r="N311">
        <v>47</v>
      </c>
      <c r="O311" t="s">
        <v>15</v>
      </c>
    </row>
    <row r="312" spans="1:15" x14ac:dyDescent="0.2">
      <c r="A312">
        <v>17522</v>
      </c>
      <c r="B312" t="s">
        <v>34</v>
      </c>
      <c r="C312" s="16" t="str">
        <f t="shared" si="8"/>
        <v>Married</v>
      </c>
      <c r="D312" t="s">
        <v>34</v>
      </c>
      <c r="E312" s="16" t="str">
        <f t="shared" si="9"/>
        <v>Male</v>
      </c>
      <c r="F312" s="1">
        <v>120000</v>
      </c>
      <c r="G312">
        <v>4</v>
      </c>
      <c r="H312" t="s">
        <v>13</v>
      </c>
      <c r="I312" t="s">
        <v>28</v>
      </c>
      <c r="J312" t="s">
        <v>15</v>
      </c>
      <c r="K312">
        <v>1</v>
      </c>
      <c r="L312" t="s">
        <v>22</v>
      </c>
      <c r="M312" t="s">
        <v>24</v>
      </c>
      <c r="N312">
        <v>47</v>
      </c>
      <c r="O312" t="s">
        <v>18</v>
      </c>
    </row>
    <row r="313" spans="1:15" x14ac:dyDescent="0.2">
      <c r="A313">
        <v>21207</v>
      </c>
      <c r="B313" t="s">
        <v>34</v>
      </c>
      <c r="C313" s="16" t="str">
        <f t="shared" si="8"/>
        <v>Married</v>
      </c>
      <c r="D313" t="s">
        <v>34</v>
      </c>
      <c r="E313" s="16" t="str">
        <f t="shared" si="9"/>
        <v>Male</v>
      </c>
      <c r="F313" s="1">
        <v>60000</v>
      </c>
      <c r="G313">
        <v>1</v>
      </c>
      <c r="H313" t="s">
        <v>19</v>
      </c>
      <c r="I313" t="s">
        <v>14</v>
      </c>
      <c r="J313" t="s">
        <v>15</v>
      </c>
      <c r="K313">
        <v>1</v>
      </c>
      <c r="L313" t="s">
        <v>23</v>
      </c>
      <c r="M313" t="s">
        <v>24</v>
      </c>
      <c r="N313">
        <v>46</v>
      </c>
      <c r="O313" t="s">
        <v>18</v>
      </c>
    </row>
    <row r="314" spans="1:15" x14ac:dyDescent="0.2">
      <c r="A314">
        <v>28102</v>
      </c>
      <c r="B314" t="s">
        <v>34</v>
      </c>
      <c r="C314" s="16" t="str">
        <f t="shared" si="8"/>
        <v>Married</v>
      </c>
      <c r="D314" t="s">
        <v>34</v>
      </c>
      <c r="E314" s="16" t="str">
        <f t="shared" si="9"/>
        <v>Male</v>
      </c>
      <c r="F314" s="1">
        <v>20000</v>
      </c>
      <c r="G314">
        <v>4</v>
      </c>
      <c r="H314" t="s">
        <v>27</v>
      </c>
      <c r="I314" t="s">
        <v>14</v>
      </c>
      <c r="J314" t="s">
        <v>15</v>
      </c>
      <c r="K314">
        <v>2</v>
      </c>
      <c r="L314" t="s">
        <v>23</v>
      </c>
      <c r="M314" t="s">
        <v>24</v>
      </c>
      <c r="N314">
        <v>58</v>
      </c>
      <c r="O314" t="s">
        <v>15</v>
      </c>
    </row>
    <row r="315" spans="1:15" x14ac:dyDescent="0.2">
      <c r="A315">
        <v>23105</v>
      </c>
      <c r="B315" t="s">
        <v>35</v>
      </c>
      <c r="C315" s="16" t="str">
        <f t="shared" si="8"/>
        <v>Single</v>
      </c>
      <c r="D315" t="s">
        <v>34</v>
      </c>
      <c r="E315" s="16" t="str">
        <f t="shared" si="9"/>
        <v>Male</v>
      </c>
      <c r="F315" s="1">
        <v>40000</v>
      </c>
      <c r="G315">
        <v>3</v>
      </c>
      <c r="H315" t="s">
        <v>29</v>
      </c>
      <c r="I315" t="s">
        <v>20</v>
      </c>
      <c r="J315" t="s">
        <v>18</v>
      </c>
      <c r="K315">
        <v>2</v>
      </c>
      <c r="L315" t="s">
        <v>23</v>
      </c>
      <c r="M315" t="s">
        <v>24</v>
      </c>
      <c r="N315">
        <v>52</v>
      </c>
      <c r="O315" t="s">
        <v>15</v>
      </c>
    </row>
    <row r="316" spans="1:15" x14ac:dyDescent="0.2">
      <c r="A316">
        <v>18740</v>
      </c>
      <c r="B316" t="s">
        <v>34</v>
      </c>
      <c r="C316" s="16" t="str">
        <f t="shared" si="8"/>
        <v>Married</v>
      </c>
      <c r="D316" t="s">
        <v>34</v>
      </c>
      <c r="E316" s="16" t="str">
        <f t="shared" si="9"/>
        <v>Male</v>
      </c>
      <c r="F316" s="1">
        <v>80000</v>
      </c>
      <c r="G316">
        <v>5</v>
      </c>
      <c r="H316" t="s">
        <v>13</v>
      </c>
      <c r="I316" t="s">
        <v>21</v>
      </c>
      <c r="J316" t="s">
        <v>18</v>
      </c>
      <c r="K316">
        <v>1</v>
      </c>
      <c r="L316" t="s">
        <v>16</v>
      </c>
      <c r="M316" t="s">
        <v>24</v>
      </c>
      <c r="N316">
        <v>47</v>
      </c>
      <c r="O316" t="s">
        <v>15</v>
      </c>
    </row>
    <row r="317" spans="1:15" x14ac:dyDescent="0.2">
      <c r="A317">
        <v>21213</v>
      </c>
      <c r="B317" t="s">
        <v>35</v>
      </c>
      <c r="C317" s="16" t="str">
        <f t="shared" si="8"/>
        <v>Single</v>
      </c>
      <c r="D317" t="s">
        <v>34</v>
      </c>
      <c r="E317" s="16" t="str">
        <f t="shared" si="9"/>
        <v>Male</v>
      </c>
      <c r="F317" s="1">
        <v>70000</v>
      </c>
      <c r="G317">
        <v>0</v>
      </c>
      <c r="H317" t="s">
        <v>13</v>
      </c>
      <c r="I317" t="s">
        <v>21</v>
      </c>
      <c r="J317" t="s">
        <v>18</v>
      </c>
      <c r="K317">
        <v>1</v>
      </c>
      <c r="L317" t="s">
        <v>23</v>
      </c>
      <c r="M317" t="s">
        <v>24</v>
      </c>
      <c r="N317">
        <v>41</v>
      </c>
      <c r="O317" t="s">
        <v>18</v>
      </c>
    </row>
    <row r="318" spans="1:15" x14ac:dyDescent="0.2">
      <c r="A318">
        <v>17352</v>
      </c>
      <c r="B318" t="s">
        <v>34</v>
      </c>
      <c r="C318" s="16" t="str">
        <f t="shared" si="8"/>
        <v>Married</v>
      </c>
      <c r="D318" t="s">
        <v>34</v>
      </c>
      <c r="E318" s="16" t="str">
        <f t="shared" si="9"/>
        <v>Male</v>
      </c>
      <c r="F318" s="1">
        <v>50000</v>
      </c>
      <c r="G318">
        <v>2</v>
      </c>
      <c r="H318" t="s">
        <v>31</v>
      </c>
      <c r="I318" t="s">
        <v>28</v>
      </c>
      <c r="J318" t="s">
        <v>15</v>
      </c>
      <c r="K318">
        <v>1</v>
      </c>
      <c r="L318" t="s">
        <v>23</v>
      </c>
      <c r="M318" t="s">
        <v>24</v>
      </c>
      <c r="N318">
        <v>64</v>
      </c>
      <c r="O318" t="s">
        <v>15</v>
      </c>
    </row>
    <row r="319" spans="1:15" x14ac:dyDescent="0.2">
      <c r="A319">
        <v>14154</v>
      </c>
      <c r="B319" t="s">
        <v>34</v>
      </c>
      <c r="C319" s="16" t="str">
        <f t="shared" si="8"/>
        <v>Married</v>
      </c>
      <c r="D319" t="s">
        <v>34</v>
      </c>
      <c r="E319" s="16" t="str">
        <f t="shared" si="9"/>
        <v>Male</v>
      </c>
      <c r="F319" s="1">
        <v>30000</v>
      </c>
      <c r="G319">
        <v>0</v>
      </c>
      <c r="H319" t="s">
        <v>13</v>
      </c>
      <c r="I319" t="s">
        <v>20</v>
      </c>
      <c r="J319" t="s">
        <v>15</v>
      </c>
      <c r="K319">
        <v>0</v>
      </c>
      <c r="L319" t="s">
        <v>16</v>
      </c>
      <c r="M319" t="s">
        <v>17</v>
      </c>
      <c r="N319">
        <v>35</v>
      </c>
      <c r="O319" t="s">
        <v>15</v>
      </c>
    </row>
    <row r="320" spans="1:15" x14ac:dyDescent="0.2">
      <c r="A320">
        <v>19066</v>
      </c>
      <c r="B320" t="s">
        <v>34</v>
      </c>
      <c r="C320" s="16" t="str">
        <f t="shared" si="8"/>
        <v>Married</v>
      </c>
      <c r="D320" t="s">
        <v>34</v>
      </c>
      <c r="E320" s="16" t="str">
        <f t="shared" si="9"/>
        <v>Male</v>
      </c>
      <c r="F320" s="1">
        <v>130000</v>
      </c>
      <c r="G320">
        <v>4</v>
      </c>
      <c r="H320" t="s">
        <v>19</v>
      </c>
      <c r="I320" t="s">
        <v>21</v>
      </c>
      <c r="J320" t="s">
        <v>18</v>
      </c>
      <c r="K320">
        <v>3</v>
      </c>
      <c r="L320" t="s">
        <v>30</v>
      </c>
      <c r="M320" t="s">
        <v>17</v>
      </c>
      <c r="N320">
        <v>54</v>
      </c>
      <c r="O320" t="s">
        <v>18</v>
      </c>
    </row>
    <row r="321" spans="1:15" x14ac:dyDescent="0.2">
      <c r="A321">
        <v>11386</v>
      </c>
      <c r="B321" t="s">
        <v>34</v>
      </c>
      <c r="C321" s="16" t="str">
        <f t="shared" si="8"/>
        <v>Married</v>
      </c>
      <c r="D321" t="s">
        <v>33</v>
      </c>
      <c r="E321" s="16" t="str">
        <f t="shared" si="9"/>
        <v>Female</v>
      </c>
      <c r="F321" s="1">
        <v>30000</v>
      </c>
      <c r="G321">
        <v>3</v>
      </c>
      <c r="H321" t="s">
        <v>13</v>
      </c>
      <c r="I321" t="s">
        <v>20</v>
      </c>
      <c r="J321" t="s">
        <v>15</v>
      </c>
      <c r="K321">
        <v>0</v>
      </c>
      <c r="L321" t="s">
        <v>16</v>
      </c>
      <c r="M321" t="s">
        <v>17</v>
      </c>
      <c r="N321">
        <v>45</v>
      </c>
      <c r="O321" t="s">
        <v>18</v>
      </c>
    </row>
    <row r="322" spans="1:15" x14ac:dyDescent="0.2">
      <c r="A322">
        <v>20228</v>
      </c>
      <c r="B322" t="s">
        <v>34</v>
      </c>
      <c r="C322" s="16" t="str">
        <f t="shared" ref="C322:C385" si="10">IF(B322="M","Married","Single")</f>
        <v>Married</v>
      </c>
      <c r="D322" t="s">
        <v>34</v>
      </c>
      <c r="E322" s="16" t="str">
        <f t="shared" ref="E322:E385" si="11">IF(D322="F","Female","Male")</f>
        <v>Male</v>
      </c>
      <c r="F322" s="1">
        <v>100000</v>
      </c>
      <c r="G322">
        <v>0</v>
      </c>
      <c r="H322" t="s">
        <v>31</v>
      </c>
      <c r="I322" t="s">
        <v>28</v>
      </c>
      <c r="J322" t="s">
        <v>15</v>
      </c>
      <c r="K322">
        <v>0</v>
      </c>
      <c r="L322" t="s">
        <v>22</v>
      </c>
      <c r="M322" t="s">
        <v>24</v>
      </c>
      <c r="N322">
        <v>40</v>
      </c>
      <c r="O322" t="s">
        <v>15</v>
      </c>
    </row>
    <row r="323" spans="1:15" x14ac:dyDescent="0.2">
      <c r="A323">
        <v>16675</v>
      </c>
      <c r="B323" t="s">
        <v>35</v>
      </c>
      <c r="C323" s="16" t="str">
        <f t="shared" si="10"/>
        <v>Single</v>
      </c>
      <c r="D323" t="s">
        <v>33</v>
      </c>
      <c r="E323" s="16" t="str">
        <f t="shared" si="11"/>
        <v>Female</v>
      </c>
      <c r="F323" s="1">
        <v>160000</v>
      </c>
      <c r="G323">
        <v>0</v>
      </c>
      <c r="H323" t="s">
        <v>31</v>
      </c>
      <c r="I323" t="s">
        <v>28</v>
      </c>
      <c r="J323" t="s">
        <v>18</v>
      </c>
      <c r="K323">
        <v>3</v>
      </c>
      <c r="L323" t="s">
        <v>16</v>
      </c>
      <c r="M323" t="s">
        <v>24</v>
      </c>
      <c r="N323">
        <v>47</v>
      </c>
      <c r="O323" t="s">
        <v>15</v>
      </c>
    </row>
    <row r="324" spans="1:15" x14ac:dyDescent="0.2">
      <c r="A324">
        <v>16410</v>
      </c>
      <c r="B324" t="s">
        <v>35</v>
      </c>
      <c r="C324" s="16" t="str">
        <f t="shared" si="10"/>
        <v>Single</v>
      </c>
      <c r="D324" t="s">
        <v>33</v>
      </c>
      <c r="E324" s="16" t="str">
        <f t="shared" si="11"/>
        <v>Female</v>
      </c>
      <c r="F324" s="1">
        <v>10000</v>
      </c>
      <c r="G324">
        <v>4</v>
      </c>
      <c r="H324" t="s">
        <v>29</v>
      </c>
      <c r="I324" t="s">
        <v>25</v>
      </c>
      <c r="J324" t="s">
        <v>15</v>
      </c>
      <c r="K324">
        <v>2</v>
      </c>
      <c r="L324" t="s">
        <v>16</v>
      </c>
      <c r="M324" t="s">
        <v>17</v>
      </c>
      <c r="N324">
        <v>41</v>
      </c>
      <c r="O324" t="s">
        <v>15</v>
      </c>
    </row>
    <row r="325" spans="1:15" x14ac:dyDescent="0.2">
      <c r="A325">
        <v>27760</v>
      </c>
      <c r="B325" t="s">
        <v>35</v>
      </c>
      <c r="C325" s="16" t="str">
        <f t="shared" si="10"/>
        <v>Single</v>
      </c>
      <c r="D325" t="s">
        <v>33</v>
      </c>
      <c r="E325" s="16" t="str">
        <f t="shared" si="11"/>
        <v>Female</v>
      </c>
      <c r="F325" s="1">
        <v>40000</v>
      </c>
      <c r="G325">
        <v>0</v>
      </c>
      <c r="H325" t="s">
        <v>31</v>
      </c>
      <c r="I325" t="s">
        <v>20</v>
      </c>
      <c r="J325" t="s">
        <v>18</v>
      </c>
      <c r="K325">
        <v>0</v>
      </c>
      <c r="L325" t="s">
        <v>16</v>
      </c>
      <c r="M325" t="s">
        <v>17</v>
      </c>
      <c r="N325">
        <v>37</v>
      </c>
      <c r="O325" t="s">
        <v>15</v>
      </c>
    </row>
    <row r="326" spans="1:15" x14ac:dyDescent="0.2">
      <c r="A326">
        <v>22930</v>
      </c>
      <c r="B326" t="s">
        <v>34</v>
      </c>
      <c r="C326" s="16" t="str">
        <f t="shared" si="10"/>
        <v>Married</v>
      </c>
      <c r="D326" t="s">
        <v>34</v>
      </c>
      <c r="E326" s="16" t="str">
        <f t="shared" si="11"/>
        <v>Male</v>
      </c>
      <c r="F326" s="1">
        <v>90000</v>
      </c>
      <c r="G326">
        <v>4</v>
      </c>
      <c r="H326" t="s">
        <v>13</v>
      </c>
      <c r="I326" t="s">
        <v>21</v>
      </c>
      <c r="J326" t="s">
        <v>15</v>
      </c>
      <c r="K326">
        <v>0</v>
      </c>
      <c r="L326" t="s">
        <v>26</v>
      </c>
      <c r="M326" t="s">
        <v>24</v>
      </c>
      <c r="N326">
        <v>38</v>
      </c>
      <c r="O326" t="s">
        <v>15</v>
      </c>
    </row>
    <row r="327" spans="1:15" x14ac:dyDescent="0.2">
      <c r="A327">
        <v>23780</v>
      </c>
      <c r="B327" t="s">
        <v>35</v>
      </c>
      <c r="C327" s="16" t="str">
        <f t="shared" si="10"/>
        <v>Single</v>
      </c>
      <c r="D327" t="s">
        <v>34</v>
      </c>
      <c r="E327" s="16" t="str">
        <f t="shared" si="11"/>
        <v>Male</v>
      </c>
      <c r="F327" s="1">
        <v>40000</v>
      </c>
      <c r="G327">
        <v>2</v>
      </c>
      <c r="H327" t="s">
        <v>19</v>
      </c>
      <c r="I327" t="s">
        <v>20</v>
      </c>
      <c r="J327" t="s">
        <v>18</v>
      </c>
      <c r="K327">
        <v>2</v>
      </c>
      <c r="L327" t="s">
        <v>16</v>
      </c>
      <c r="M327" t="s">
        <v>17</v>
      </c>
      <c r="N327">
        <v>36</v>
      </c>
      <c r="O327" t="s">
        <v>15</v>
      </c>
    </row>
    <row r="328" spans="1:15" x14ac:dyDescent="0.2">
      <c r="A328">
        <v>20994</v>
      </c>
      <c r="B328" t="s">
        <v>34</v>
      </c>
      <c r="C328" s="16" t="str">
        <f t="shared" si="10"/>
        <v>Married</v>
      </c>
      <c r="D328" t="s">
        <v>33</v>
      </c>
      <c r="E328" s="16" t="str">
        <f t="shared" si="11"/>
        <v>Female</v>
      </c>
      <c r="F328" s="1">
        <v>20000</v>
      </c>
      <c r="G328">
        <v>0</v>
      </c>
      <c r="H328" t="s">
        <v>13</v>
      </c>
      <c r="I328" t="s">
        <v>20</v>
      </c>
      <c r="J328" t="s">
        <v>18</v>
      </c>
      <c r="K328">
        <v>0</v>
      </c>
      <c r="L328" t="s">
        <v>16</v>
      </c>
      <c r="M328" t="s">
        <v>24</v>
      </c>
      <c r="N328">
        <v>26</v>
      </c>
      <c r="O328" t="s">
        <v>15</v>
      </c>
    </row>
    <row r="329" spans="1:15" x14ac:dyDescent="0.2">
      <c r="A329">
        <v>28379</v>
      </c>
      <c r="B329" t="s">
        <v>34</v>
      </c>
      <c r="C329" s="16" t="str">
        <f t="shared" si="10"/>
        <v>Married</v>
      </c>
      <c r="D329" t="s">
        <v>34</v>
      </c>
      <c r="E329" s="16" t="str">
        <f t="shared" si="11"/>
        <v>Male</v>
      </c>
      <c r="F329" s="1">
        <v>30000</v>
      </c>
      <c r="G329">
        <v>1</v>
      </c>
      <c r="H329" t="s">
        <v>13</v>
      </c>
      <c r="I329" t="s">
        <v>14</v>
      </c>
      <c r="J329" t="s">
        <v>15</v>
      </c>
      <c r="K329">
        <v>2</v>
      </c>
      <c r="L329" t="s">
        <v>16</v>
      </c>
      <c r="M329" t="s">
        <v>17</v>
      </c>
      <c r="N329">
        <v>40</v>
      </c>
      <c r="O329" t="s">
        <v>18</v>
      </c>
    </row>
    <row r="330" spans="1:15" x14ac:dyDescent="0.2">
      <c r="A330">
        <v>14865</v>
      </c>
      <c r="B330" t="s">
        <v>35</v>
      </c>
      <c r="C330" s="16" t="str">
        <f t="shared" si="10"/>
        <v>Single</v>
      </c>
      <c r="D330" t="s">
        <v>34</v>
      </c>
      <c r="E330" s="16" t="str">
        <f t="shared" si="11"/>
        <v>Male</v>
      </c>
      <c r="F330" s="1">
        <v>40000</v>
      </c>
      <c r="G330">
        <v>2</v>
      </c>
      <c r="H330" t="s">
        <v>19</v>
      </c>
      <c r="I330" t="s">
        <v>20</v>
      </c>
      <c r="J330" t="s">
        <v>15</v>
      </c>
      <c r="K330">
        <v>2</v>
      </c>
      <c r="L330" t="s">
        <v>26</v>
      </c>
      <c r="M330" t="s">
        <v>17</v>
      </c>
      <c r="N330">
        <v>36</v>
      </c>
      <c r="O330" t="s">
        <v>18</v>
      </c>
    </row>
    <row r="331" spans="1:15" x14ac:dyDescent="0.2">
      <c r="A331">
        <v>12663</v>
      </c>
      <c r="B331" t="s">
        <v>34</v>
      </c>
      <c r="C331" s="16" t="str">
        <f t="shared" si="10"/>
        <v>Married</v>
      </c>
      <c r="D331" t="s">
        <v>33</v>
      </c>
      <c r="E331" s="16" t="str">
        <f t="shared" si="11"/>
        <v>Female</v>
      </c>
      <c r="F331" s="1">
        <v>90000</v>
      </c>
      <c r="G331">
        <v>5</v>
      </c>
      <c r="H331" t="s">
        <v>29</v>
      </c>
      <c r="I331" t="s">
        <v>14</v>
      </c>
      <c r="J331" t="s">
        <v>15</v>
      </c>
      <c r="K331">
        <v>2</v>
      </c>
      <c r="L331" t="s">
        <v>30</v>
      </c>
      <c r="M331" t="s">
        <v>17</v>
      </c>
      <c r="N331">
        <v>59</v>
      </c>
      <c r="O331" t="s">
        <v>18</v>
      </c>
    </row>
    <row r="332" spans="1:15" x14ac:dyDescent="0.2">
      <c r="A332">
        <v>24898</v>
      </c>
      <c r="B332" t="s">
        <v>35</v>
      </c>
      <c r="C332" s="16" t="str">
        <f t="shared" si="10"/>
        <v>Single</v>
      </c>
      <c r="D332" t="s">
        <v>33</v>
      </c>
      <c r="E332" s="16" t="str">
        <f t="shared" si="11"/>
        <v>Female</v>
      </c>
      <c r="F332" s="1">
        <v>80000</v>
      </c>
      <c r="G332">
        <v>0</v>
      </c>
      <c r="H332" t="s">
        <v>13</v>
      </c>
      <c r="I332" t="s">
        <v>21</v>
      </c>
      <c r="J332" t="s">
        <v>15</v>
      </c>
      <c r="K332">
        <v>3</v>
      </c>
      <c r="L332" t="s">
        <v>30</v>
      </c>
      <c r="M332" t="s">
        <v>24</v>
      </c>
      <c r="N332">
        <v>32</v>
      </c>
      <c r="O332" t="s">
        <v>18</v>
      </c>
    </row>
    <row r="333" spans="1:15" x14ac:dyDescent="0.2">
      <c r="A333">
        <v>19508</v>
      </c>
      <c r="B333" t="s">
        <v>34</v>
      </c>
      <c r="C333" s="16" t="str">
        <f t="shared" si="10"/>
        <v>Married</v>
      </c>
      <c r="D333" t="s">
        <v>34</v>
      </c>
      <c r="E333" s="16" t="str">
        <f t="shared" si="11"/>
        <v>Male</v>
      </c>
      <c r="F333" s="1">
        <v>10000</v>
      </c>
      <c r="G333">
        <v>0</v>
      </c>
      <c r="H333" t="s">
        <v>29</v>
      </c>
      <c r="I333" t="s">
        <v>25</v>
      </c>
      <c r="J333" t="s">
        <v>18</v>
      </c>
      <c r="K333">
        <v>2</v>
      </c>
      <c r="L333" t="s">
        <v>16</v>
      </c>
      <c r="M333" t="s">
        <v>17</v>
      </c>
      <c r="N333">
        <v>30</v>
      </c>
      <c r="O333" t="s">
        <v>18</v>
      </c>
    </row>
    <row r="334" spans="1:15" x14ac:dyDescent="0.2">
      <c r="A334">
        <v>11489</v>
      </c>
      <c r="B334" t="s">
        <v>35</v>
      </c>
      <c r="C334" s="16" t="str">
        <f t="shared" si="10"/>
        <v>Single</v>
      </c>
      <c r="D334" t="s">
        <v>33</v>
      </c>
      <c r="E334" s="16" t="str">
        <f t="shared" si="11"/>
        <v>Female</v>
      </c>
      <c r="F334" s="1">
        <v>20000</v>
      </c>
      <c r="G334">
        <v>0</v>
      </c>
      <c r="H334" t="s">
        <v>29</v>
      </c>
      <c r="I334" t="s">
        <v>25</v>
      </c>
      <c r="J334" t="s">
        <v>18</v>
      </c>
      <c r="K334">
        <v>2</v>
      </c>
      <c r="L334" t="s">
        <v>26</v>
      </c>
      <c r="M334" t="s">
        <v>17</v>
      </c>
      <c r="N334">
        <v>35</v>
      </c>
      <c r="O334" t="s">
        <v>15</v>
      </c>
    </row>
    <row r="335" spans="1:15" x14ac:dyDescent="0.2">
      <c r="A335">
        <v>18160</v>
      </c>
      <c r="B335" t="s">
        <v>34</v>
      </c>
      <c r="C335" s="16" t="str">
        <f t="shared" si="10"/>
        <v>Married</v>
      </c>
      <c r="D335" t="s">
        <v>34</v>
      </c>
      <c r="E335" s="16" t="str">
        <f t="shared" si="11"/>
        <v>Male</v>
      </c>
      <c r="F335" s="1">
        <v>130000</v>
      </c>
      <c r="G335">
        <v>3</v>
      </c>
      <c r="H335" t="s">
        <v>27</v>
      </c>
      <c r="I335" t="s">
        <v>21</v>
      </c>
      <c r="J335" t="s">
        <v>15</v>
      </c>
      <c r="K335">
        <v>4</v>
      </c>
      <c r="L335" t="s">
        <v>23</v>
      </c>
      <c r="M335" t="s">
        <v>17</v>
      </c>
      <c r="N335">
        <v>51</v>
      </c>
      <c r="O335" t="s">
        <v>15</v>
      </c>
    </row>
    <row r="336" spans="1:15" x14ac:dyDescent="0.2">
      <c r="A336">
        <v>25241</v>
      </c>
      <c r="B336" t="s">
        <v>34</v>
      </c>
      <c r="C336" s="16" t="str">
        <f t="shared" si="10"/>
        <v>Married</v>
      </c>
      <c r="D336" t="s">
        <v>34</v>
      </c>
      <c r="E336" s="16" t="str">
        <f t="shared" si="11"/>
        <v>Male</v>
      </c>
      <c r="F336" s="1">
        <v>90000</v>
      </c>
      <c r="G336">
        <v>2</v>
      </c>
      <c r="H336" t="s">
        <v>13</v>
      </c>
      <c r="I336" t="s">
        <v>21</v>
      </c>
      <c r="J336" t="s">
        <v>15</v>
      </c>
      <c r="K336">
        <v>1</v>
      </c>
      <c r="L336" t="s">
        <v>23</v>
      </c>
      <c r="M336" t="s">
        <v>24</v>
      </c>
      <c r="N336">
        <v>47</v>
      </c>
      <c r="O336" t="s">
        <v>18</v>
      </c>
    </row>
    <row r="337" spans="1:15" x14ac:dyDescent="0.2">
      <c r="A337">
        <v>24369</v>
      </c>
      <c r="B337" t="s">
        <v>34</v>
      </c>
      <c r="C337" s="16" t="str">
        <f t="shared" si="10"/>
        <v>Married</v>
      </c>
      <c r="D337" t="s">
        <v>34</v>
      </c>
      <c r="E337" s="16" t="str">
        <f t="shared" si="11"/>
        <v>Male</v>
      </c>
      <c r="F337" s="1">
        <v>80000</v>
      </c>
      <c r="G337">
        <v>5</v>
      </c>
      <c r="H337" t="s">
        <v>31</v>
      </c>
      <c r="I337" t="s">
        <v>28</v>
      </c>
      <c r="J337" t="s">
        <v>18</v>
      </c>
      <c r="K337">
        <v>2</v>
      </c>
      <c r="L337" t="s">
        <v>16</v>
      </c>
      <c r="M337" t="s">
        <v>24</v>
      </c>
      <c r="N337">
        <v>39</v>
      </c>
      <c r="O337" t="s">
        <v>18</v>
      </c>
    </row>
    <row r="338" spans="1:15" x14ac:dyDescent="0.2">
      <c r="A338">
        <v>27165</v>
      </c>
      <c r="B338" t="s">
        <v>35</v>
      </c>
      <c r="C338" s="16" t="str">
        <f t="shared" si="10"/>
        <v>Single</v>
      </c>
      <c r="D338" t="s">
        <v>34</v>
      </c>
      <c r="E338" s="16" t="str">
        <f t="shared" si="11"/>
        <v>Male</v>
      </c>
      <c r="F338" s="1">
        <v>20000</v>
      </c>
      <c r="G338">
        <v>0</v>
      </c>
      <c r="H338" t="s">
        <v>29</v>
      </c>
      <c r="I338" t="s">
        <v>25</v>
      </c>
      <c r="J338" t="s">
        <v>18</v>
      </c>
      <c r="K338">
        <v>2</v>
      </c>
      <c r="L338" t="s">
        <v>16</v>
      </c>
      <c r="M338" t="s">
        <v>17</v>
      </c>
      <c r="N338">
        <v>34</v>
      </c>
      <c r="O338" t="s">
        <v>18</v>
      </c>
    </row>
    <row r="339" spans="1:15" x14ac:dyDescent="0.2">
      <c r="A339">
        <v>29424</v>
      </c>
      <c r="B339" t="s">
        <v>34</v>
      </c>
      <c r="C339" s="16" t="str">
        <f t="shared" si="10"/>
        <v>Married</v>
      </c>
      <c r="D339" t="s">
        <v>34</v>
      </c>
      <c r="E339" s="16" t="str">
        <f t="shared" si="11"/>
        <v>Male</v>
      </c>
      <c r="F339" s="1">
        <v>10000</v>
      </c>
      <c r="G339">
        <v>0</v>
      </c>
      <c r="H339" t="s">
        <v>29</v>
      </c>
      <c r="I339" t="s">
        <v>25</v>
      </c>
      <c r="J339" t="s">
        <v>15</v>
      </c>
      <c r="K339">
        <v>2</v>
      </c>
      <c r="L339" t="s">
        <v>16</v>
      </c>
      <c r="M339" t="s">
        <v>17</v>
      </c>
      <c r="N339">
        <v>32</v>
      </c>
      <c r="O339" t="s">
        <v>18</v>
      </c>
    </row>
    <row r="340" spans="1:15" x14ac:dyDescent="0.2">
      <c r="A340">
        <v>15926</v>
      </c>
      <c r="B340" t="s">
        <v>35</v>
      </c>
      <c r="C340" s="16" t="str">
        <f t="shared" si="10"/>
        <v>Single</v>
      </c>
      <c r="D340" t="s">
        <v>33</v>
      </c>
      <c r="E340" s="16" t="str">
        <f t="shared" si="11"/>
        <v>Female</v>
      </c>
      <c r="F340" s="1">
        <v>120000</v>
      </c>
      <c r="G340">
        <v>3</v>
      </c>
      <c r="H340" t="s">
        <v>27</v>
      </c>
      <c r="I340" t="s">
        <v>21</v>
      </c>
      <c r="J340" t="s">
        <v>15</v>
      </c>
      <c r="K340">
        <v>4</v>
      </c>
      <c r="L340" t="s">
        <v>23</v>
      </c>
      <c r="M340" t="s">
        <v>17</v>
      </c>
      <c r="N340">
        <v>50</v>
      </c>
      <c r="O340" t="s">
        <v>15</v>
      </c>
    </row>
    <row r="341" spans="1:15" x14ac:dyDescent="0.2">
      <c r="A341">
        <v>14554</v>
      </c>
      <c r="B341" t="s">
        <v>34</v>
      </c>
      <c r="C341" s="16" t="str">
        <f t="shared" si="10"/>
        <v>Married</v>
      </c>
      <c r="D341" t="s">
        <v>34</v>
      </c>
      <c r="E341" s="16" t="str">
        <f t="shared" si="11"/>
        <v>Male</v>
      </c>
      <c r="F341" s="1">
        <v>20000</v>
      </c>
      <c r="G341">
        <v>1</v>
      </c>
      <c r="H341" t="s">
        <v>13</v>
      </c>
      <c r="I341" t="s">
        <v>20</v>
      </c>
      <c r="J341" t="s">
        <v>15</v>
      </c>
      <c r="K341">
        <v>0</v>
      </c>
      <c r="L341" t="s">
        <v>16</v>
      </c>
      <c r="M341" t="s">
        <v>17</v>
      </c>
      <c r="N341">
        <v>66</v>
      </c>
      <c r="O341" t="s">
        <v>18</v>
      </c>
    </row>
    <row r="342" spans="1:15" x14ac:dyDescent="0.2">
      <c r="A342">
        <v>16468</v>
      </c>
      <c r="B342" t="s">
        <v>35</v>
      </c>
      <c r="C342" s="16" t="str">
        <f t="shared" si="10"/>
        <v>Single</v>
      </c>
      <c r="D342" t="s">
        <v>34</v>
      </c>
      <c r="E342" s="16" t="str">
        <f t="shared" si="11"/>
        <v>Male</v>
      </c>
      <c r="F342" s="1">
        <v>30000</v>
      </c>
      <c r="G342">
        <v>0</v>
      </c>
      <c r="H342" t="s">
        <v>19</v>
      </c>
      <c r="I342" t="s">
        <v>20</v>
      </c>
      <c r="J342" t="s">
        <v>15</v>
      </c>
      <c r="K342">
        <v>1</v>
      </c>
      <c r="L342" t="s">
        <v>22</v>
      </c>
      <c r="M342" t="s">
        <v>17</v>
      </c>
      <c r="N342">
        <v>30</v>
      </c>
      <c r="O342" t="s">
        <v>18</v>
      </c>
    </row>
    <row r="343" spans="1:15" x14ac:dyDescent="0.2">
      <c r="A343">
        <v>19174</v>
      </c>
      <c r="B343" t="s">
        <v>35</v>
      </c>
      <c r="C343" s="16" t="str">
        <f t="shared" si="10"/>
        <v>Single</v>
      </c>
      <c r="D343" t="s">
        <v>33</v>
      </c>
      <c r="E343" s="16" t="str">
        <f t="shared" si="11"/>
        <v>Female</v>
      </c>
      <c r="F343" s="1">
        <v>30000</v>
      </c>
      <c r="G343">
        <v>0</v>
      </c>
      <c r="H343" t="s">
        <v>27</v>
      </c>
      <c r="I343" t="s">
        <v>25</v>
      </c>
      <c r="J343" t="s">
        <v>18</v>
      </c>
      <c r="K343">
        <v>1</v>
      </c>
      <c r="L343" t="s">
        <v>22</v>
      </c>
      <c r="M343" t="s">
        <v>17</v>
      </c>
      <c r="N343">
        <v>32</v>
      </c>
      <c r="O343" t="s">
        <v>15</v>
      </c>
    </row>
    <row r="344" spans="1:15" x14ac:dyDescent="0.2">
      <c r="A344">
        <v>19183</v>
      </c>
      <c r="B344" t="s">
        <v>35</v>
      </c>
      <c r="C344" s="16" t="str">
        <f t="shared" si="10"/>
        <v>Single</v>
      </c>
      <c r="D344" t="s">
        <v>34</v>
      </c>
      <c r="E344" s="16" t="str">
        <f t="shared" si="11"/>
        <v>Male</v>
      </c>
      <c r="F344" s="1">
        <v>10000</v>
      </c>
      <c r="G344">
        <v>0</v>
      </c>
      <c r="H344" t="s">
        <v>29</v>
      </c>
      <c r="I344" t="s">
        <v>25</v>
      </c>
      <c r="J344" t="s">
        <v>15</v>
      </c>
      <c r="K344">
        <v>2</v>
      </c>
      <c r="L344" t="s">
        <v>26</v>
      </c>
      <c r="M344" t="s">
        <v>17</v>
      </c>
      <c r="N344">
        <v>35</v>
      </c>
      <c r="O344" t="s">
        <v>18</v>
      </c>
    </row>
    <row r="345" spans="1:15" x14ac:dyDescent="0.2">
      <c r="A345">
        <v>13683</v>
      </c>
      <c r="B345" t="s">
        <v>35</v>
      </c>
      <c r="C345" s="16" t="str">
        <f t="shared" si="10"/>
        <v>Single</v>
      </c>
      <c r="D345" t="s">
        <v>33</v>
      </c>
      <c r="E345" s="16" t="str">
        <f t="shared" si="11"/>
        <v>Female</v>
      </c>
      <c r="F345" s="1">
        <v>30000</v>
      </c>
      <c r="G345">
        <v>0</v>
      </c>
      <c r="H345" t="s">
        <v>27</v>
      </c>
      <c r="I345" t="s">
        <v>25</v>
      </c>
      <c r="J345" t="s">
        <v>18</v>
      </c>
      <c r="K345">
        <v>1</v>
      </c>
      <c r="L345" t="s">
        <v>22</v>
      </c>
      <c r="M345" t="s">
        <v>17</v>
      </c>
      <c r="N345">
        <v>32</v>
      </c>
      <c r="O345" t="s">
        <v>18</v>
      </c>
    </row>
    <row r="346" spans="1:15" x14ac:dyDescent="0.2">
      <c r="A346">
        <v>17848</v>
      </c>
      <c r="B346" t="s">
        <v>35</v>
      </c>
      <c r="C346" s="16" t="str">
        <f t="shared" si="10"/>
        <v>Single</v>
      </c>
      <c r="D346" t="s">
        <v>34</v>
      </c>
      <c r="E346" s="16" t="str">
        <f t="shared" si="11"/>
        <v>Male</v>
      </c>
      <c r="F346" s="1">
        <v>30000</v>
      </c>
      <c r="G346">
        <v>0</v>
      </c>
      <c r="H346" t="s">
        <v>19</v>
      </c>
      <c r="I346" t="s">
        <v>20</v>
      </c>
      <c r="J346" t="s">
        <v>18</v>
      </c>
      <c r="K346">
        <v>1</v>
      </c>
      <c r="L346" t="s">
        <v>22</v>
      </c>
      <c r="M346" t="s">
        <v>17</v>
      </c>
      <c r="N346">
        <v>31</v>
      </c>
      <c r="O346" t="s">
        <v>15</v>
      </c>
    </row>
    <row r="347" spans="1:15" x14ac:dyDescent="0.2">
      <c r="A347">
        <v>17894</v>
      </c>
      <c r="B347" t="s">
        <v>34</v>
      </c>
      <c r="C347" s="16" t="str">
        <f t="shared" si="10"/>
        <v>Married</v>
      </c>
      <c r="D347" t="s">
        <v>33</v>
      </c>
      <c r="E347" s="16" t="str">
        <f t="shared" si="11"/>
        <v>Female</v>
      </c>
      <c r="F347" s="1">
        <v>20000</v>
      </c>
      <c r="G347">
        <v>1</v>
      </c>
      <c r="H347" t="s">
        <v>13</v>
      </c>
      <c r="I347" t="s">
        <v>20</v>
      </c>
      <c r="J347" t="s">
        <v>15</v>
      </c>
      <c r="K347">
        <v>0</v>
      </c>
      <c r="L347" t="s">
        <v>16</v>
      </c>
      <c r="M347" t="s">
        <v>17</v>
      </c>
      <c r="N347">
        <v>50</v>
      </c>
      <c r="O347" t="s">
        <v>15</v>
      </c>
    </row>
    <row r="348" spans="1:15" x14ac:dyDescent="0.2">
      <c r="A348">
        <v>25651</v>
      </c>
      <c r="B348" t="s">
        <v>34</v>
      </c>
      <c r="C348" s="16" t="str">
        <f t="shared" si="10"/>
        <v>Married</v>
      </c>
      <c r="D348" t="s">
        <v>34</v>
      </c>
      <c r="E348" s="16" t="str">
        <f t="shared" si="11"/>
        <v>Male</v>
      </c>
      <c r="F348" s="1">
        <v>40000</v>
      </c>
      <c r="G348">
        <v>1</v>
      </c>
      <c r="H348" t="s">
        <v>13</v>
      </c>
      <c r="I348" t="s">
        <v>14</v>
      </c>
      <c r="J348" t="s">
        <v>18</v>
      </c>
      <c r="K348">
        <v>0</v>
      </c>
      <c r="L348" t="s">
        <v>16</v>
      </c>
      <c r="M348" t="s">
        <v>17</v>
      </c>
      <c r="N348">
        <v>43</v>
      </c>
      <c r="O348" t="s">
        <v>15</v>
      </c>
    </row>
    <row r="349" spans="1:15" x14ac:dyDescent="0.2">
      <c r="A349">
        <v>22936</v>
      </c>
      <c r="B349" t="s">
        <v>35</v>
      </c>
      <c r="C349" s="16" t="str">
        <f t="shared" si="10"/>
        <v>Single</v>
      </c>
      <c r="D349" t="s">
        <v>33</v>
      </c>
      <c r="E349" s="16" t="str">
        <f t="shared" si="11"/>
        <v>Female</v>
      </c>
      <c r="F349" s="1">
        <v>60000</v>
      </c>
      <c r="G349">
        <v>1</v>
      </c>
      <c r="H349" t="s">
        <v>19</v>
      </c>
      <c r="I349" t="s">
        <v>14</v>
      </c>
      <c r="J349" t="s">
        <v>18</v>
      </c>
      <c r="K349">
        <v>1</v>
      </c>
      <c r="L349" t="s">
        <v>16</v>
      </c>
      <c r="M349" t="s">
        <v>24</v>
      </c>
      <c r="N349">
        <v>45</v>
      </c>
      <c r="O349" t="s">
        <v>15</v>
      </c>
    </row>
    <row r="350" spans="1:15" x14ac:dyDescent="0.2">
      <c r="A350">
        <v>23915</v>
      </c>
      <c r="B350" t="s">
        <v>34</v>
      </c>
      <c r="C350" s="16" t="str">
        <f t="shared" si="10"/>
        <v>Married</v>
      </c>
      <c r="D350" t="s">
        <v>34</v>
      </c>
      <c r="E350" s="16" t="str">
        <f t="shared" si="11"/>
        <v>Male</v>
      </c>
      <c r="F350" s="1">
        <v>20000</v>
      </c>
      <c r="G350">
        <v>2</v>
      </c>
      <c r="H350" t="s">
        <v>27</v>
      </c>
      <c r="I350" t="s">
        <v>25</v>
      </c>
      <c r="J350" t="s">
        <v>15</v>
      </c>
      <c r="K350">
        <v>2</v>
      </c>
      <c r="L350" t="s">
        <v>16</v>
      </c>
      <c r="M350" t="s">
        <v>17</v>
      </c>
      <c r="N350">
        <v>42</v>
      </c>
      <c r="O350" t="s">
        <v>18</v>
      </c>
    </row>
    <row r="351" spans="1:15" x14ac:dyDescent="0.2">
      <c r="A351">
        <v>24121</v>
      </c>
      <c r="B351" t="s">
        <v>35</v>
      </c>
      <c r="C351" s="16" t="str">
        <f t="shared" si="10"/>
        <v>Single</v>
      </c>
      <c r="D351" t="s">
        <v>33</v>
      </c>
      <c r="E351" s="16" t="str">
        <f t="shared" si="11"/>
        <v>Female</v>
      </c>
      <c r="F351" s="1">
        <v>30000</v>
      </c>
      <c r="G351">
        <v>0</v>
      </c>
      <c r="H351" t="s">
        <v>19</v>
      </c>
      <c r="I351" t="s">
        <v>20</v>
      </c>
      <c r="J351" t="s">
        <v>18</v>
      </c>
      <c r="K351">
        <v>1</v>
      </c>
      <c r="L351" t="s">
        <v>16</v>
      </c>
      <c r="M351" t="s">
        <v>17</v>
      </c>
      <c r="N351">
        <v>29</v>
      </c>
      <c r="O351" t="s">
        <v>15</v>
      </c>
    </row>
    <row r="352" spans="1:15" x14ac:dyDescent="0.2">
      <c r="A352">
        <v>27878</v>
      </c>
      <c r="B352" t="s">
        <v>35</v>
      </c>
      <c r="C352" s="16" t="str">
        <f t="shared" si="10"/>
        <v>Single</v>
      </c>
      <c r="D352" t="s">
        <v>34</v>
      </c>
      <c r="E352" s="16" t="str">
        <f t="shared" si="11"/>
        <v>Male</v>
      </c>
      <c r="F352" s="1">
        <v>20000</v>
      </c>
      <c r="G352">
        <v>0</v>
      </c>
      <c r="H352" t="s">
        <v>19</v>
      </c>
      <c r="I352" t="s">
        <v>25</v>
      </c>
      <c r="J352" t="s">
        <v>18</v>
      </c>
      <c r="K352">
        <v>0</v>
      </c>
      <c r="L352" t="s">
        <v>16</v>
      </c>
      <c r="M352" t="s">
        <v>24</v>
      </c>
      <c r="N352">
        <v>28</v>
      </c>
      <c r="O352" t="s">
        <v>15</v>
      </c>
    </row>
    <row r="353" spans="1:15" x14ac:dyDescent="0.2">
      <c r="A353">
        <v>13572</v>
      </c>
      <c r="B353" t="s">
        <v>35</v>
      </c>
      <c r="C353" s="16" t="str">
        <f t="shared" si="10"/>
        <v>Single</v>
      </c>
      <c r="D353" t="s">
        <v>34</v>
      </c>
      <c r="E353" s="16" t="str">
        <f t="shared" si="11"/>
        <v>Male</v>
      </c>
      <c r="F353" s="1">
        <v>10000</v>
      </c>
      <c r="G353">
        <v>3</v>
      </c>
      <c r="H353" t="s">
        <v>27</v>
      </c>
      <c r="I353" t="s">
        <v>25</v>
      </c>
      <c r="J353" t="s">
        <v>15</v>
      </c>
      <c r="K353">
        <v>0</v>
      </c>
      <c r="L353" t="s">
        <v>16</v>
      </c>
      <c r="M353" t="s">
        <v>17</v>
      </c>
      <c r="N353">
        <v>37</v>
      </c>
      <c r="O353" t="s">
        <v>15</v>
      </c>
    </row>
    <row r="354" spans="1:15" x14ac:dyDescent="0.2">
      <c r="A354">
        <v>27941</v>
      </c>
      <c r="B354" t="s">
        <v>34</v>
      </c>
      <c r="C354" s="16" t="str">
        <f t="shared" si="10"/>
        <v>Married</v>
      </c>
      <c r="D354" t="s">
        <v>33</v>
      </c>
      <c r="E354" s="16" t="str">
        <f t="shared" si="11"/>
        <v>Female</v>
      </c>
      <c r="F354" s="1">
        <v>80000</v>
      </c>
      <c r="G354">
        <v>4</v>
      </c>
      <c r="H354" t="s">
        <v>19</v>
      </c>
      <c r="I354" t="s">
        <v>21</v>
      </c>
      <c r="J354" t="s">
        <v>15</v>
      </c>
      <c r="K354">
        <v>2</v>
      </c>
      <c r="L354" t="s">
        <v>22</v>
      </c>
      <c r="M354" t="s">
        <v>17</v>
      </c>
      <c r="N354">
        <v>53</v>
      </c>
      <c r="O354" t="s">
        <v>18</v>
      </c>
    </row>
    <row r="355" spans="1:15" x14ac:dyDescent="0.2">
      <c r="A355">
        <v>26354</v>
      </c>
      <c r="B355" t="s">
        <v>35</v>
      </c>
      <c r="C355" s="16" t="str">
        <f t="shared" si="10"/>
        <v>Single</v>
      </c>
      <c r="D355" t="s">
        <v>34</v>
      </c>
      <c r="E355" s="16" t="str">
        <f t="shared" si="11"/>
        <v>Male</v>
      </c>
      <c r="F355" s="1">
        <v>40000</v>
      </c>
      <c r="G355">
        <v>0</v>
      </c>
      <c r="H355" t="s">
        <v>31</v>
      </c>
      <c r="I355" t="s">
        <v>20</v>
      </c>
      <c r="J355" t="s">
        <v>18</v>
      </c>
      <c r="K355">
        <v>0</v>
      </c>
      <c r="L355" t="s">
        <v>16</v>
      </c>
      <c r="M355" t="s">
        <v>17</v>
      </c>
      <c r="N355">
        <v>38</v>
      </c>
      <c r="O355" t="s">
        <v>15</v>
      </c>
    </row>
    <row r="356" spans="1:15" x14ac:dyDescent="0.2">
      <c r="A356">
        <v>14785</v>
      </c>
      <c r="B356" t="s">
        <v>35</v>
      </c>
      <c r="C356" s="16" t="str">
        <f t="shared" si="10"/>
        <v>Single</v>
      </c>
      <c r="D356" t="s">
        <v>34</v>
      </c>
      <c r="E356" s="16" t="str">
        <f t="shared" si="11"/>
        <v>Male</v>
      </c>
      <c r="F356" s="1">
        <v>30000</v>
      </c>
      <c r="G356">
        <v>1</v>
      </c>
      <c r="H356" t="s">
        <v>13</v>
      </c>
      <c r="I356" t="s">
        <v>20</v>
      </c>
      <c r="J356" t="s">
        <v>18</v>
      </c>
      <c r="K356">
        <v>1</v>
      </c>
      <c r="L356" t="s">
        <v>26</v>
      </c>
      <c r="M356" t="s">
        <v>17</v>
      </c>
      <c r="N356">
        <v>39</v>
      </c>
      <c r="O356" t="s">
        <v>18</v>
      </c>
    </row>
    <row r="357" spans="1:15" x14ac:dyDescent="0.2">
      <c r="A357">
        <v>17238</v>
      </c>
      <c r="B357" t="s">
        <v>35</v>
      </c>
      <c r="C357" s="16" t="str">
        <f t="shared" si="10"/>
        <v>Single</v>
      </c>
      <c r="D357" t="s">
        <v>34</v>
      </c>
      <c r="E357" s="16" t="str">
        <f t="shared" si="11"/>
        <v>Male</v>
      </c>
      <c r="F357" s="1">
        <v>80000</v>
      </c>
      <c r="G357">
        <v>0</v>
      </c>
      <c r="H357" t="s">
        <v>13</v>
      </c>
      <c r="I357" t="s">
        <v>21</v>
      </c>
      <c r="J357" t="s">
        <v>15</v>
      </c>
      <c r="K357">
        <v>3</v>
      </c>
      <c r="L357" t="s">
        <v>30</v>
      </c>
      <c r="M357" t="s">
        <v>24</v>
      </c>
      <c r="N357">
        <v>32</v>
      </c>
      <c r="O357" t="s">
        <v>18</v>
      </c>
    </row>
    <row r="358" spans="1:15" x14ac:dyDescent="0.2">
      <c r="A358">
        <v>23608</v>
      </c>
      <c r="B358" t="s">
        <v>34</v>
      </c>
      <c r="C358" s="16" t="str">
        <f t="shared" si="10"/>
        <v>Married</v>
      </c>
      <c r="D358" t="s">
        <v>33</v>
      </c>
      <c r="E358" s="16" t="str">
        <f t="shared" si="11"/>
        <v>Female</v>
      </c>
      <c r="F358" s="1">
        <v>150000</v>
      </c>
      <c r="G358">
        <v>3</v>
      </c>
      <c r="H358" t="s">
        <v>27</v>
      </c>
      <c r="I358" t="s">
        <v>21</v>
      </c>
      <c r="J358" t="s">
        <v>15</v>
      </c>
      <c r="K358">
        <v>3</v>
      </c>
      <c r="L358" t="s">
        <v>16</v>
      </c>
      <c r="M358" t="s">
        <v>17</v>
      </c>
      <c r="N358">
        <v>51</v>
      </c>
      <c r="O358" t="s">
        <v>15</v>
      </c>
    </row>
    <row r="359" spans="1:15" x14ac:dyDescent="0.2">
      <c r="A359">
        <v>22538</v>
      </c>
      <c r="B359" t="s">
        <v>35</v>
      </c>
      <c r="C359" s="16" t="str">
        <f t="shared" si="10"/>
        <v>Single</v>
      </c>
      <c r="D359" t="s">
        <v>33</v>
      </c>
      <c r="E359" s="16" t="str">
        <f t="shared" si="11"/>
        <v>Female</v>
      </c>
      <c r="F359" s="1">
        <v>10000</v>
      </c>
      <c r="G359">
        <v>0</v>
      </c>
      <c r="H359" t="s">
        <v>29</v>
      </c>
      <c r="I359" t="s">
        <v>25</v>
      </c>
      <c r="J359" t="s">
        <v>15</v>
      </c>
      <c r="K359">
        <v>2</v>
      </c>
      <c r="L359" t="s">
        <v>26</v>
      </c>
      <c r="M359" t="s">
        <v>17</v>
      </c>
      <c r="N359">
        <v>33</v>
      </c>
      <c r="O359" t="s">
        <v>18</v>
      </c>
    </row>
    <row r="360" spans="1:15" x14ac:dyDescent="0.2">
      <c r="A360">
        <v>12332</v>
      </c>
      <c r="B360" t="s">
        <v>34</v>
      </c>
      <c r="C360" s="16" t="str">
        <f t="shared" si="10"/>
        <v>Married</v>
      </c>
      <c r="D360" t="s">
        <v>34</v>
      </c>
      <c r="E360" s="16" t="str">
        <f t="shared" si="11"/>
        <v>Male</v>
      </c>
      <c r="F360" s="1">
        <v>90000</v>
      </c>
      <c r="G360">
        <v>4</v>
      </c>
      <c r="H360" t="s">
        <v>27</v>
      </c>
      <c r="I360" t="s">
        <v>28</v>
      </c>
      <c r="J360" t="s">
        <v>15</v>
      </c>
      <c r="K360">
        <v>3</v>
      </c>
      <c r="L360" t="s">
        <v>23</v>
      </c>
      <c r="M360" t="s">
        <v>17</v>
      </c>
      <c r="N360">
        <v>58</v>
      </c>
      <c r="O360" t="s">
        <v>15</v>
      </c>
    </row>
    <row r="361" spans="1:15" x14ac:dyDescent="0.2">
      <c r="A361">
        <v>17230</v>
      </c>
      <c r="B361" t="s">
        <v>34</v>
      </c>
      <c r="C361" s="16" t="str">
        <f t="shared" si="10"/>
        <v>Married</v>
      </c>
      <c r="D361" t="s">
        <v>34</v>
      </c>
      <c r="E361" s="16" t="str">
        <f t="shared" si="11"/>
        <v>Male</v>
      </c>
      <c r="F361" s="1">
        <v>80000</v>
      </c>
      <c r="G361">
        <v>0</v>
      </c>
      <c r="H361" t="s">
        <v>13</v>
      </c>
      <c r="I361" t="s">
        <v>21</v>
      </c>
      <c r="J361" t="s">
        <v>15</v>
      </c>
      <c r="K361">
        <v>3</v>
      </c>
      <c r="L361" t="s">
        <v>30</v>
      </c>
      <c r="M361" t="s">
        <v>24</v>
      </c>
      <c r="N361">
        <v>30</v>
      </c>
      <c r="O361" t="s">
        <v>18</v>
      </c>
    </row>
    <row r="362" spans="1:15" x14ac:dyDescent="0.2">
      <c r="A362">
        <v>13082</v>
      </c>
      <c r="B362" t="s">
        <v>35</v>
      </c>
      <c r="C362" s="16" t="str">
        <f t="shared" si="10"/>
        <v>Single</v>
      </c>
      <c r="D362" t="s">
        <v>34</v>
      </c>
      <c r="E362" s="16" t="str">
        <f t="shared" si="11"/>
        <v>Male</v>
      </c>
      <c r="F362" s="1">
        <v>130000</v>
      </c>
      <c r="G362">
        <v>0</v>
      </c>
      <c r="H362" t="s">
        <v>31</v>
      </c>
      <c r="I362" t="s">
        <v>28</v>
      </c>
      <c r="J362" t="s">
        <v>15</v>
      </c>
      <c r="K362">
        <v>0</v>
      </c>
      <c r="L362" t="s">
        <v>22</v>
      </c>
      <c r="M362" t="s">
        <v>24</v>
      </c>
      <c r="N362">
        <v>48</v>
      </c>
      <c r="O362" t="s">
        <v>15</v>
      </c>
    </row>
    <row r="363" spans="1:15" x14ac:dyDescent="0.2">
      <c r="A363">
        <v>22518</v>
      </c>
      <c r="B363" t="s">
        <v>35</v>
      </c>
      <c r="C363" s="16" t="str">
        <f t="shared" si="10"/>
        <v>Single</v>
      </c>
      <c r="D363" t="s">
        <v>33</v>
      </c>
      <c r="E363" s="16" t="str">
        <f t="shared" si="11"/>
        <v>Female</v>
      </c>
      <c r="F363" s="1">
        <v>30000</v>
      </c>
      <c r="G363">
        <v>3</v>
      </c>
      <c r="H363" t="s">
        <v>19</v>
      </c>
      <c r="I363" t="s">
        <v>20</v>
      </c>
      <c r="J363" t="s">
        <v>18</v>
      </c>
      <c r="K363">
        <v>2</v>
      </c>
      <c r="L363" t="s">
        <v>16</v>
      </c>
      <c r="M363" t="s">
        <v>17</v>
      </c>
      <c r="N363">
        <v>27</v>
      </c>
      <c r="O363" t="s">
        <v>15</v>
      </c>
    </row>
    <row r="364" spans="1:15" x14ac:dyDescent="0.2">
      <c r="A364">
        <v>13687</v>
      </c>
      <c r="B364" t="s">
        <v>34</v>
      </c>
      <c r="C364" s="16" t="str">
        <f t="shared" si="10"/>
        <v>Married</v>
      </c>
      <c r="D364" t="s">
        <v>34</v>
      </c>
      <c r="E364" s="16" t="str">
        <f t="shared" si="11"/>
        <v>Male</v>
      </c>
      <c r="F364" s="1">
        <v>40000</v>
      </c>
      <c r="G364">
        <v>1</v>
      </c>
      <c r="H364" t="s">
        <v>13</v>
      </c>
      <c r="I364" t="s">
        <v>14</v>
      </c>
      <c r="J364" t="s">
        <v>15</v>
      </c>
      <c r="K364">
        <v>1</v>
      </c>
      <c r="L364" t="s">
        <v>16</v>
      </c>
      <c r="M364" t="s">
        <v>17</v>
      </c>
      <c r="N364">
        <v>33</v>
      </c>
      <c r="O364" t="s">
        <v>15</v>
      </c>
    </row>
    <row r="365" spans="1:15" x14ac:dyDescent="0.2">
      <c r="A365">
        <v>23571</v>
      </c>
      <c r="B365" t="s">
        <v>34</v>
      </c>
      <c r="C365" s="16" t="str">
        <f t="shared" si="10"/>
        <v>Married</v>
      </c>
      <c r="D365" t="s">
        <v>33</v>
      </c>
      <c r="E365" s="16" t="str">
        <f t="shared" si="11"/>
        <v>Female</v>
      </c>
      <c r="F365" s="1">
        <v>40000</v>
      </c>
      <c r="G365">
        <v>2</v>
      </c>
      <c r="H365" t="s">
        <v>13</v>
      </c>
      <c r="I365" t="s">
        <v>28</v>
      </c>
      <c r="J365" t="s">
        <v>15</v>
      </c>
      <c r="K365">
        <v>2</v>
      </c>
      <c r="L365" t="s">
        <v>16</v>
      </c>
      <c r="M365" t="s">
        <v>24</v>
      </c>
      <c r="N365">
        <v>66</v>
      </c>
      <c r="O365" t="s">
        <v>15</v>
      </c>
    </row>
    <row r="366" spans="1:15" x14ac:dyDescent="0.2">
      <c r="A366">
        <v>19305</v>
      </c>
      <c r="B366" t="s">
        <v>35</v>
      </c>
      <c r="C366" s="16" t="str">
        <f t="shared" si="10"/>
        <v>Single</v>
      </c>
      <c r="D366" t="s">
        <v>33</v>
      </c>
      <c r="E366" s="16" t="str">
        <f t="shared" si="11"/>
        <v>Female</v>
      </c>
      <c r="F366" s="1">
        <v>10000</v>
      </c>
      <c r="G366">
        <v>2</v>
      </c>
      <c r="H366" t="s">
        <v>27</v>
      </c>
      <c r="I366" t="s">
        <v>25</v>
      </c>
      <c r="J366" t="s">
        <v>15</v>
      </c>
      <c r="K366">
        <v>1</v>
      </c>
      <c r="L366" t="s">
        <v>16</v>
      </c>
      <c r="M366" t="s">
        <v>17</v>
      </c>
      <c r="N366">
        <v>38</v>
      </c>
      <c r="O366" t="s">
        <v>15</v>
      </c>
    </row>
    <row r="367" spans="1:15" x14ac:dyDescent="0.2">
      <c r="A367">
        <v>22636</v>
      </c>
      <c r="B367" t="s">
        <v>35</v>
      </c>
      <c r="C367" s="16" t="str">
        <f t="shared" si="10"/>
        <v>Single</v>
      </c>
      <c r="D367" t="s">
        <v>33</v>
      </c>
      <c r="E367" s="16" t="str">
        <f t="shared" si="11"/>
        <v>Female</v>
      </c>
      <c r="F367" s="1">
        <v>40000</v>
      </c>
      <c r="G367">
        <v>0</v>
      </c>
      <c r="H367" t="s">
        <v>13</v>
      </c>
      <c r="I367" t="s">
        <v>20</v>
      </c>
      <c r="J367" t="s">
        <v>18</v>
      </c>
      <c r="K367">
        <v>0</v>
      </c>
      <c r="L367" t="s">
        <v>16</v>
      </c>
      <c r="M367" t="s">
        <v>17</v>
      </c>
      <c r="N367">
        <v>38</v>
      </c>
      <c r="O367" t="s">
        <v>15</v>
      </c>
    </row>
    <row r="368" spans="1:15" x14ac:dyDescent="0.2">
      <c r="A368">
        <v>17310</v>
      </c>
      <c r="B368" t="s">
        <v>34</v>
      </c>
      <c r="C368" s="16" t="str">
        <f t="shared" si="10"/>
        <v>Married</v>
      </c>
      <c r="D368" t="s">
        <v>34</v>
      </c>
      <c r="E368" s="16" t="str">
        <f t="shared" si="11"/>
        <v>Male</v>
      </c>
      <c r="F368" s="1">
        <v>60000</v>
      </c>
      <c r="G368">
        <v>1</v>
      </c>
      <c r="H368" t="s">
        <v>19</v>
      </c>
      <c r="I368" t="s">
        <v>14</v>
      </c>
      <c r="J368" t="s">
        <v>15</v>
      </c>
      <c r="K368">
        <v>1</v>
      </c>
      <c r="L368" t="s">
        <v>16</v>
      </c>
      <c r="M368" t="s">
        <v>24</v>
      </c>
      <c r="N368">
        <v>45</v>
      </c>
      <c r="O368" t="s">
        <v>15</v>
      </c>
    </row>
    <row r="369" spans="1:15" x14ac:dyDescent="0.2">
      <c r="A369">
        <v>12133</v>
      </c>
      <c r="B369" t="s">
        <v>34</v>
      </c>
      <c r="C369" s="16" t="str">
        <f t="shared" si="10"/>
        <v>Married</v>
      </c>
      <c r="D369" t="s">
        <v>33</v>
      </c>
      <c r="E369" s="16" t="str">
        <f t="shared" si="11"/>
        <v>Female</v>
      </c>
      <c r="F369" s="1">
        <v>130000</v>
      </c>
      <c r="G369">
        <v>3</v>
      </c>
      <c r="H369" t="s">
        <v>19</v>
      </c>
      <c r="I369" t="s">
        <v>21</v>
      </c>
      <c r="J369" t="s">
        <v>15</v>
      </c>
      <c r="K369">
        <v>3</v>
      </c>
      <c r="L369" t="s">
        <v>23</v>
      </c>
      <c r="M369" t="s">
        <v>17</v>
      </c>
      <c r="N369">
        <v>50</v>
      </c>
      <c r="O369" t="s">
        <v>15</v>
      </c>
    </row>
    <row r="370" spans="1:15" x14ac:dyDescent="0.2">
      <c r="A370">
        <v>25918</v>
      </c>
      <c r="B370" t="s">
        <v>35</v>
      </c>
      <c r="C370" s="16" t="str">
        <f t="shared" si="10"/>
        <v>Single</v>
      </c>
      <c r="D370" t="s">
        <v>33</v>
      </c>
      <c r="E370" s="16" t="str">
        <f t="shared" si="11"/>
        <v>Female</v>
      </c>
      <c r="F370" s="1">
        <v>30000</v>
      </c>
      <c r="G370">
        <v>2</v>
      </c>
      <c r="H370" t="s">
        <v>19</v>
      </c>
      <c r="I370" t="s">
        <v>20</v>
      </c>
      <c r="J370" t="s">
        <v>18</v>
      </c>
      <c r="K370">
        <v>2</v>
      </c>
      <c r="L370" t="s">
        <v>23</v>
      </c>
      <c r="M370" t="s">
        <v>24</v>
      </c>
      <c r="N370">
        <v>60</v>
      </c>
      <c r="O370" t="s">
        <v>15</v>
      </c>
    </row>
    <row r="371" spans="1:15" x14ac:dyDescent="0.2">
      <c r="A371">
        <v>25752</v>
      </c>
      <c r="B371" t="s">
        <v>35</v>
      </c>
      <c r="C371" s="16" t="str">
        <f t="shared" si="10"/>
        <v>Single</v>
      </c>
      <c r="D371" t="s">
        <v>33</v>
      </c>
      <c r="E371" s="16" t="str">
        <f t="shared" si="11"/>
        <v>Female</v>
      </c>
      <c r="F371" s="1">
        <v>20000</v>
      </c>
      <c r="G371">
        <v>2</v>
      </c>
      <c r="H371" t="s">
        <v>19</v>
      </c>
      <c r="I371" t="s">
        <v>25</v>
      </c>
      <c r="J371" t="s">
        <v>18</v>
      </c>
      <c r="K371">
        <v>1</v>
      </c>
      <c r="L371" t="s">
        <v>16</v>
      </c>
      <c r="M371" t="s">
        <v>17</v>
      </c>
      <c r="N371">
        <v>53</v>
      </c>
      <c r="O371" t="s">
        <v>15</v>
      </c>
    </row>
    <row r="372" spans="1:15" x14ac:dyDescent="0.2">
      <c r="A372">
        <v>17324</v>
      </c>
      <c r="B372" t="s">
        <v>34</v>
      </c>
      <c r="C372" s="16" t="str">
        <f t="shared" si="10"/>
        <v>Married</v>
      </c>
      <c r="D372" t="s">
        <v>33</v>
      </c>
      <c r="E372" s="16" t="str">
        <f t="shared" si="11"/>
        <v>Female</v>
      </c>
      <c r="F372" s="1">
        <v>100000</v>
      </c>
      <c r="G372">
        <v>4</v>
      </c>
      <c r="H372" t="s">
        <v>13</v>
      </c>
      <c r="I372" t="s">
        <v>21</v>
      </c>
      <c r="J372" t="s">
        <v>15</v>
      </c>
      <c r="K372">
        <v>1</v>
      </c>
      <c r="L372" t="s">
        <v>30</v>
      </c>
      <c r="M372" t="s">
        <v>24</v>
      </c>
      <c r="N372">
        <v>46</v>
      </c>
      <c r="O372" t="s">
        <v>18</v>
      </c>
    </row>
    <row r="373" spans="1:15" x14ac:dyDescent="0.2">
      <c r="A373">
        <v>22918</v>
      </c>
      <c r="B373" t="s">
        <v>35</v>
      </c>
      <c r="C373" s="16" t="str">
        <f t="shared" si="10"/>
        <v>Single</v>
      </c>
      <c r="D373" t="s">
        <v>34</v>
      </c>
      <c r="E373" s="16" t="str">
        <f t="shared" si="11"/>
        <v>Male</v>
      </c>
      <c r="F373" s="1">
        <v>80000</v>
      </c>
      <c r="G373">
        <v>5</v>
      </c>
      <c r="H373" t="s">
        <v>31</v>
      </c>
      <c r="I373" t="s">
        <v>28</v>
      </c>
      <c r="J373" t="s">
        <v>15</v>
      </c>
      <c r="K373">
        <v>3</v>
      </c>
      <c r="L373" t="s">
        <v>16</v>
      </c>
      <c r="M373" t="s">
        <v>24</v>
      </c>
      <c r="N373">
        <v>50</v>
      </c>
      <c r="O373" t="s">
        <v>18</v>
      </c>
    </row>
    <row r="374" spans="1:15" x14ac:dyDescent="0.2">
      <c r="A374">
        <v>12510</v>
      </c>
      <c r="B374" t="s">
        <v>34</v>
      </c>
      <c r="C374" s="16" t="str">
        <f t="shared" si="10"/>
        <v>Married</v>
      </c>
      <c r="D374" t="s">
        <v>34</v>
      </c>
      <c r="E374" s="16" t="str">
        <f t="shared" si="11"/>
        <v>Male</v>
      </c>
      <c r="F374" s="1">
        <v>40000</v>
      </c>
      <c r="G374">
        <v>1</v>
      </c>
      <c r="H374" t="s">
        <v>13</v>
      </c>
      <c r="I374" t="s">
        <v>14</v>
      </c>
      <c r="J374" t="s">
        <v>15</v>
      </c>
      <c r="K374">
        <v>1</v>
      </c>
      <c r="L374" t="s">
        <v>16</v>
      </c>
      <c r="M374" t="s">
        <v>17</v>
      </c>
      <c r="N374">
        <v>43</v>
      </c>
      <c r="O374" t="s">
        <v>15</v>
      </c>
    </row>
    <row r="375" spans="1:15" x14ac:dyDescent="0.2">
      <c r="A375">
        <v>25512</v>
      </c>
      <c r="B375" t="s">
        <v>35</v>
      </c>
      <c r="C375" s="16" t="str">
        <f t="shared" si="10"/>
        <v>Single</v>
      </c>
      <c r="D375" t="s">
        <v>34</v>
      </c>
      <c r="E375" s="16" t="str">
        <f t="shared" si="11"/>
        <v>Male</v>
      </c>
      <c r="F375" s="1">
        <v>20000</v>
      </c>
      <c r="G375">
        <v>0</v>
      </c>
      <c r="H375" t="s">
        <v>27</v>
      </c>
      <c r="I375" t="s">
        <v>25</v>
      </c>
      <c r="J375" t="s">
        <v>18</v>
      </c>
      <c r="K375">
        <v>1</v>
      </c>
      <c r="L375" t="s">
        <v>22</v>
      </c>
      <c r="M375" t="s">
        <v>17</v>
      </c>
      <c r="N375">
        <v>30</v>
      </c>
      <c r="O375" t="s">
        <v>18</v>
      </c>
    </row>
    <row r="376" spans="1:15" x14ac:dyDescent="0.2">
      <c r="A376">
        <v>16179</v>
      </c>
      <c r="B376" t="s">
        <v>35</v>
      </c>
      <c r="C376" s="16" t="str">
        <f t="shared" si="10"/>
        <v>Single</v>
      </c>
      <c r="D376" t="s">
        <v>33</v>
      </c>
      <c r="E376" s="16" t="str">
        <f t="shared" si="11"/>
        <v>Female</v>
      </c>
      <c r="F376" s="1">
        <v>80000</v>
      </c>
      <c r="G376">
        <v>5</v>
      </c>
      <c r="H376" t="s">
        <v>13</v>
      </c>
      <c r="I376" t="s">
        <v>21</v>
      </c>
      <c r="J376" t="s">
        <v>15</v>
      </c>
      <c r="K376">
        <v>4</v>
      </c>
      <c r="L376" t="s">
        <v>26</v>
      </c>
      <c r="M376" t="s">
        <v>24</v>
      </c>
      <c r="N376">
        <v>38</v>
      </c>
      <c r="O376" t="s">
        <v>18</v>
      </c>
    </row>
    <row r="377" spans="1:15" x14ac:dyDescent="0.2">
      <c r="A377">
        <v>15628</v>
      </c>
      <c r="B377" t="s">
        <v>34</v>
      </c>
      <c r="C377" s="16" t="str">
        <f t="shared" si="10"/>
        <v>Married</v>
      </c>
      <c r="D377" t="s">
        <v>33</v>
      </c>
      <c r="E377" s="16" t="str">
        <f t="shared" si="11"/>
        <v>Female</v>
      </c>
      <c r="F377" s="1">
        <v>40000</v>
      </c>
      <c r="G377">
        <v>1</v>
      </c>
      <c r="H377" t="s">
        <v>13</v>
      </c>
      <c r="I377" t="s">
        <v>14</v>
      </c>
      <c r="J377" t="s">
        <v>15</v>
      </c>
      <c r="K377">
        <v>1</v>
      </c>
      <c r="L377" t="s">
        <v>16</v>
      </c>
      <c r="M377" t="s">
        <v>17</v>
      </c>
      <c r="N377">
        <v>89</v>
      </c>
      <c r="O377" t="s">
        <v>18</v>
      </c>
    </row>
    <row r="378" spans="1:15" x14ac:dyDescent="0.2">
      <c r="A378">
        <v>20977</v>
      </c>
      <c r="B378" t="s">
        <v>34</v>
      </c>
      <c r="C378" s="16" t="str">
        <f t="shared" si="10"/>
        <v>Married</v>
      </c>
      <c r="D378" t="s">
        <v>34</v>
      </c>
      <c r="E378" s="16" t="str">
        <f t="shared" si="11"/>
        <v>Male</v>
      </c>
      <c r="F378" s="1">
        <v>20000</v>
      </c>
      <c r="G378">
        <v>1</v>
      </c>
      <c r="H378" t="s">
        <v>13</v>
      </c>
      <c r="I378" t="s">
        <v>20</v>
      </c>
      <c r="J378" t="s">
        <v>15</v>
      </c>
      <c r="K378">
        <v>0</v>
      </c>
      <c r="L378" t="s">
        <v>16</v>
      </c>
      <c r="M378" t="s">
        <v>17</v>
      </c>
      <c r="N378">
        <v>64</v>
      </c>
      <c r="O378" t="s">
        <v>15</v>
      </c>
    </row>
    <row r="379" spans="1:15" x14ac:dyDescent="0.2">
      <c r="A379">
        <v>18140</v>
      </c>
      <c r="B379" t="s">
        <v>34</v>
      </c>
      <c r="C379" s="16" t="str">
        <f t="shared" si="10"/>
        <v>Married</v>
      </c>
      <c r="D379" t="s">
        <v>34</v>
      </c>
      <c r="E379" s="16" t="str">
        <f t="shared" si="11"/>
        <v>Male</v>
      </c>
      <c r="F379" s="1">
        <v>130000</v>
      </c>
      <c r="G379">
        <v>3</v>
      </c>
      <c r="H379" t="s">
        <v>19</v>
      </c>
      <c r="I379" t="s">
        <v>21</v>
      </c>
      <c r="J379" t="s">
        <v>18</v>
      </c>
      <c r="K379">
        <v>3</v>
      </c>
      <c r="L379" t="s">
        <v>23</v>
      </c>
      <c r="M379" t="s">
        <v>17</v>
      </c>
      <c r="N379">
        <v>51</v>
      </c>
      <c r="O379" t="s">
        <v>15</v>
      </c>
    </row>
    <row r="380" spans="1:15" x14ac:dyDescent="0.2">
      <c r="A380">
        <v>20417</v>
      </c>
      <c r="B380" t="s">
        <v>34</v>
      </c>
      <c r="C380" s="16" t="str">
        <f t="shared" si="10"/>
        <v>Married</v>
      </c>
      <c r="D380" t="s">
        <v>34</v>
      </c>
      <c r="E380" s="16" t="str">
        <f t="shared" si="11"/>
        <v>Male</v>
      </c>
      <c r="F380" s="1">
        <v>30000</v>
      </c>
      <c r="G380">
        <v>3</v>
      </c>
      <c r="H380" t="s">
        <v>19</v>
      </c>
      <c r="I380" t="s">
        <v>20</v>
      </c>
      <c r="J380" t="s">
        <v>18</v>
      </c>
      <c r="K380">
        <v>2</v>
      </c>
      <c r="L380" t="s">
        <v>23</v>
      </c>
      <c r="M380" t="s">
        <v>24</v>
      </c>
      <c r="N380">
        <v>56</v>
      </c>
      <c r="O380" t="s">
        <v>18</v>
      </c>
    </row>
    <row r="381" spans="1:15" x14ac:dyDescent="0.2">
      <c r="A381">
        <v>18267</v>
      </c>
      <c r="B381" t="s">
        <v>34</v>
      </c>
      <c r="C381" s="16" t="str">
        <f t="shared" si="10"/>
        <v>Married</v>
      </c>
      <c r="D381" t="s">
        <v>34</v>
      </c>
      <c r="E381" s="16" t="str">
        <f t="shared" si="11"/>
        <v>Male</v>
      </c>
      <c r="F381" s="1">
        <v>60000</v>
      </c>
      <c r="G381">
        <v>3</v>
      </c>
      <c r="H381" t="s">
        <v>13</v>
      </c>
      <c r="I381" t="s">
        <v>21</v>
      </c>
      <c r="J381" t="s">
        <v>15</v>
      </c>
      <c r="K381">
        <v>2</v>
      </c>
      <c r="L381" t="s">
        <v>23</v>
      </c>
      <c r="M381" t="s">
        <v>24</v>
      </c>
      <c r="N381">
        <v>43</v>
      </c>
      <c r="O381" t="s">
        <v>18</v>
      </c>
    </row>
    <row r="382" spans="1:15" x14ac:dyDescent="0.2">
      <c r="A382">
        <v>13620</v>
      </c>
      <c r="B382" t="s">
        <v>35</v>
      </c>
      <c r="C382" s="16" t="str">
        <f t="shared" si="10"/>
        <v>Single</v>
      </c>
      <c r="D382" t="s">
        <v>34</v>
      </c>
      <c r="E382" s="16" t="str">
        <f t="shared" si="11"/>
        <v>Male</v>
      </c>
      <c r="F382" s="1">
        <v>70000</v>
      </c>
      <c r="G382">
        <v>0</v>
      </c>
      <c r="H382" t="s">
        <v>13</v>
      </c>
      <c r="I382" t="s">
        <v>21</v>
      </c>
      <c r="J382" t="s">
        <v>18</v>
      </c>
      <c r="K382">
        <v>3</v>
      </c>
      <c r="L382" t="s">
        <v>30</v>
      </c>
      <c r="M382" t="s">
        <v>24</v>
      </c>
      <c r="N382">
        <v>30</v>
      </c>
      <c r="O382" t="s">
        <v>15</v>
      </c>
    </row>
    <row r="383" spans="1:15" x14ac:dyDescent="0.2">
      <c r="A383">
        <v>22974</v>
      </c>
      <c r="B383" t="s">
        <v>34</v>
      </c>
      <c r="C383" s="16" t="str">
        <f t="shared" si="10"/>
        <v>Married</v>
      </c>
      <c r="D383" t="s">
        <v>33</v>
      </c>
      <c r="E383" s="16" t="str">
        <f t="shared" si="11"/>
        <v>Female</v>
      </c>
      <c r="F383" s="1">
        <v>30000</v>
      </c>
      <c r="G383">
        <v>2</v>
      </c>
      <c r="H383" t="s">
        <v>19</v>
      </c>
      <c r="I383" t="s">
        <v>20</v>
      </c>
      <c r="J383" t="s">
        <v>15</v>
      </c>
      <c r="K383">
        <v>2</v>
      </c>
      <c r="L383" t="s">
        <v>23</v>
      </c>
      <c r="M383" t="s">
        <v>24</v>
      </c>
      <c r="N383">
        <v>69</v>
      </c>
      <c r="O383" t="s">
        <v>18</v>
      </c>
    </row>
    <row r="384" spans="1:15" x14ac:dyDescent="0.2">
      <c r="A384">
        <v>13586</v>
      </c>
      <c r="B384" t="s">
        <v>34</v>
      </c>
      <c r="C384" s="16" t="str">
        <f t="shared" si="10"/>
        <v>Married</v>
      </c>
      <c r="D384" t="s">
        <v>34</v>
      </c>
      <c r="E384" s="16" t="str">
        <f t="shared" si="11"/>
        <v>Male</v>
      </c>
      <c r="F384" s="1">
        <v>80000</v>
      </c>
      <c r="G384">
        <v>4</v>
      </c>
      <c r="H384" t="s">
        <v>19</v>
      </c>
      <c r="I384" t="s">
        <v>21</v>
      </c>
      <c r="J384" t="s">
        <v>15</v>
      </c>
      <c r="K384">
        <v>2</v>
      </c>
      <c r="L384" t="s">
        <v>30</v>
      </c>
      <c r="M384" t="s">
        <v>17</v>
      </c>
      <c r="N384">
        <v>53</v>
      </c>
      <c r="O384" t="s">
        <v>18</v>
      </c>
    </row>
    <row r="385" spans="1:15" x14ac:dyDescent="0.2">
      <c r="A385">
        <v>17978</v>
      </c>
      <c r="B385" t="s">
        <v>34</v>
      </c>
      <c r="C385" s="16" t="str">
        <f t="shared" si="10"/>
        <v>Married</v>
      </c>
      <c r="D385" t="s">
        <v>34</v>
      </c>
      <c r="E385" s="16" t="str">
        <f t="shared" si="11"/>
        <v>Male</v>
      </c>
      <c r="F385" s="1">
        <v>40000</v>
      </c>
      <c r="G385">
        <v>0</v>
      </c>
      <c r="H385" t="s">
        <v>31</v>
      </c>
      <c r="I385" t="s">
        <v>20</v>
      </c>
      <c r="J385" t="s">
        <v>15</v>
      </c>
      <c r="K385">
        <v>0</v>
      </c>
      <c r="L385" t="s">
        <v>16</v>
      </c>
      <c r="M385" t="s">
        <v>17</v>
      </c>
      <c r="N385">
        <v>37</v>
      </c>
      <c r="O385" t="s">
        <v>15</v>
      </c>
    </row>
    <row r="386" spans="1:15" x14ac:dyDescent="0.2">
      <c r="A386">
        <v>12581</v>
      </c>
      <c r="B386" t="s">
        <v>35</v>
      </c>
      <c r="C386" s="16" t="str">
        <f t="shared" ref="C386:C449" si="12">IF(B386="M","Married","Single")</f>
        <v>Single</v>
      </c>
      <c r="D386" t="s">
        <v>33</v>
      </c>
      <c r="E386" s="16" t="str">
        <f t="shared" ref="E386:E449" si="13">IF(D386="F","Female","Male")</f>
        <v>Female</v>
      </c>
      <c r="F386" s="1">
        <v>10000</v>
      </c>
      <c r="G386">
        <v>0</v>
      </c>
      <c r="H386" t="s">
        <v>19</v>
      </c>
      <c r="I386" t="s">
        <v>25</v>
      </c>
      <c r="J386" t="s">
        <v>18</v>
      </c>
      <c r="K386">
        <v>1</v>
      </c>
      <c r="L386" t="s">
        <v>16</v>
      </c>
      <c r="M386" t="s">
        <v>24</v>
      </c>
      <c r="N386">
        <v>28</v>
      </c>
      <c r="O386" t="s">
        <v>15</v>
      </c>
    </row>
    <row r="387" spans="1:15" x14ac:dyDescent="0.2">
      <c r="A387">
        <v>18018</v>
      </c>
      <c r="B387" t="s">
        <v>35</v>
      </c>
      <c r="C387" s="16" t="str">
        <f t="shared" si="12"/>
        <v>Single</v>
      </c>
      <c r="D387" t="s">
        <v>34</v>
      </c>
      <c r="E387" s="16" t="str">
        <f t="shared" si="13"/>
        <v>Male</v>
      </c>
      <c r="F387" s="1">
        <v>30000</v>
      </c>
      <c r="G387">
        <v>3</v>
      </c>
      <c r="H387" t="s">
        <v>19</v>
      </c>
      <c r="I387" t="s">
        <v>20</v>
      </c>
      <c r="J387" t="s">
        <v>15</v>
      </c>
      <c r="K387">
        <v>0</v>
      </c>
      <c r="L387" t="s">
        <v>16</v>
      </c>
      <c r="M387" t="s">
        <v>17</v>
      </c>
      <c r="N387">
        <v>43</v>
      </c>
      <c r="O387" t="s">
        <v>18</v>
      </c>
    </row>
    <row r="388" spans="1:15" x14ac:dyDescent="0.2">
      <c r="A388">
        <v>28957</v>
      </c>
      <c r="B388" t="s">
        <v>35</v>
      </c>
      <c r="C388" s="16" t="str">
        <f t="shared" si="12"/>
        <v>Single</v>
      </c>
      <c r="D388" t="s">
        <v>33</v>
      </c>
      <c r="E388" s="16" t="str">
        <f t="shared" si="13"/>
        <v>Female</v>
      </c>
      <c r="F388" s="1">
        <v>120000</v>
      </c>
      <c r="G388">
        <v>0</v>
      </c>
      <c r="H388" t="s">
        <v>29</v>
      </c>
      <c r="I388" t="s">
        <v>21</v>
      </c>
      <c r="J388" t="s">
        <v>15</v>
      </c>
      <c r="K388">
        <v>4</v>
      </c>
      <c r="L388" t="s">
        <v>30</v>
      </c>
      <c r="M388" t="s">
        <v>24</v>
      </c>
      <c r="N388">
        <v>34</v>
      </c>
      <c r="O388" t="s">
        <v>15</v>
      </c>
    </row>
    <row r="389" spans="1:15" x14ac:dyDescent="0.2">
      <c r="A389">
        <v>13690</v>
      </c>
      <c r="B389" t="s">
        <v>35</v>
      </c>
      <c r="C389" s="16" t="str">
        <f t="shared" si="12"/>
        <v>Single</v>
      </c>
      <c r="D389" t="s">
        <v>33</v>
      </c>
      <c r="E389" s="16" t="str">
        <f t="shared" si="13"/>
        <v>Female</v>
      </c>
      <c r="F389" s="1">
        <v>20000</v>
      </c>
      <c r="G389">
        <v>0</v>
      </c>
      <c r="H389" t="s">
        <v>29</v>
      </c>
      <c r="I389" t="s">
        <v>25</v>
      </c>
      <c r="J389" t="s">
        <v>18</v>
      </c>
      <c r="K389">
        <v>2</v>
      </c>
      <c r="L389" t="s">
        <v>26</v>
      </c>
      <c r="M389" t="s">
        <v>17</v>
      </c>
      <c r="N389">
        <v>34</v>
      </c>
      <c r="O389" t="s">
        <v>15</v>
      </c>
    </row>
    <row r="390" spans="1:15" x14ac:dyDescent="0.2">
      <c r="A390">
        <v>12568</v>
      </c>
      <c r="B390" t="s">
        <v>34</v>
      </c>
      <c r="C390" s="16" t="str">
        <f t="shared" si="12"/>
        <v>Married</v>
      </c>
      <c r="D390" t="s">
        <v>33</v>
      </c>
      <c r="E390" s="16" t="str">
        <f t="shared" si="13"/>
        <v>Female</v>
      </c>
      <c r="F390" s="1">
        <v>30000</v>
      </c>
      <c r="G390">
        <v>1</v>
      </c>
      <c r="H390" t="s">
        <v>13</v>
      </c>
      <c r="I390" t="s">
        <v>20</v>
      </c>
      <c r="J390" t="s">
        <v>15</v>
      </c>
      <c r="K390">
        <v>0</v>
      </c>
      <c r="L390" t="s">
        <v>16</v>
      </c>
      <c r="M390" t="s">
        <v>17</v>
      </c>
      <c r="N390">
        <v>64</v>
      </c>
      <c r="O390" t="s">
        <v>18</v>
      </c>
    </row>
    <row r="391" spans="1:15" x14ac:dyDescent="0.2">
      <c r="A391">
        <v>13122</v>
      </c>
      <c r="B391" t="s">
        <v>34</v>
      </c>
      <c r="C391" s="16" t="str">
        <f t="shared" si="12"/>
        <v>Married</v>
      </c>
      <c r="D391" t="s">
        <v>33</v>
      </c>
      <c r="E391" s="16" t="str">
        <f t="shared" si="13"/>
        <v>Female</v>
      </c>
      <c r="F391" s="1">
        <v>80000</v>
      </c>
      <c r="G391">
        <v>0</v>
      </c>
      <c r="H391" t="s">
        <v>13</v>
      </c>
      <c r="I391" t="s">
        <v>21</v>
      </c>
      <c r="J391" t="s">
        <v>15</v>
      </c>
      <c r="K391">
        <v>1</v>
      </c>
      <c r="L391" t="s">
        <v>26</v>
      </c>
      <c r="M391" t="s">
        <v>24</v>
      </c>
      <c r="N391">
        <v>41</v>
      </c>
      <c r="O391" t="s">
        <v>15</v>
      </c>
    </row>
    <row r="392" spans="1:15" x14ac:dyDescent="0.2">
      <c r="A392">
        <v>21184</v>
      </c>
      <c r="B392" t="s">
        <v>35</v>
      </c>
      <c r="C392" s="16" t="str">
        <f t="shared" si="12"/>
        <v>Single</v>
      </c>
      <c r="D392" t="s">
        <v>34</v>
      </c>
      <c r="E392" s="16" t="str">
        <f t="shared" si="13"/>
        <v>Male</v>
      </c>
      <c r="F392" s="1">
        <v>70000</v>
      </c>
      <c r="G392">
        <v>0</v>
      </c>
      <c r="H392" t="s">
        <v>13</v>
      </c>
      <c r="I392" t="s">
        <v>21</v>
      </c>
      <c r="J392" t="s">
        <v>18</v>
      </c>
      <c r="K392">
        <v>1</v>
      </c>
      <c r="L392" t="s">
        <v>23</v>
      </c>
      <c r="M392" t="s">
        <v>24</v>
      </c>
      <c r="N392">
        <v>38</v>
      </c>
      <c r="O392" t="s">
        <v>18</v>
      </c>
    </row>
    <row r="393" spans="1:15" x14ac:dyDescent="0.2">
      <c r="A393">
        <v>26150</v>
      </c>
      <c r="B393" t="s">
        <v>35</v>
      </c>
      <c r="C393" s="16" t="str">
        <f t="shared" si="12"/>
        <v>Single</v>
      </c>
      <c r="D393" t="s">
        <v>33</v>
      </c>
      <c r="E393" s="16" t="str">
        <f t="shared" si="13"/>
        <v>Female</v>
      </c>
      <c r="F393" s="1">
        <v>70000</v>
      </c>
      <c r="G393">
        <v>0</v>
      </c>
      <c r="H393" t="s">
        <v>13</v>
      </c>
      <c r="I393" t="s">
        <v>21</v>
      </c>
      <c r="J393" t="s">
        <v>18</v>
      </c>
      <c r="K393">
        <v>1</v>
      </c>
      <c r="L393" t="s">
        <v>16</v>
      </c>
      <c r="M393" t="s">
        <v>24</v>
      </c>
      <c r="N393">
        <v>41</v>
      </c>
      <c r="O393" t="s">
        <v>15</v>
      </c>
    </row>
    <row r="394" spans="1:15" x14ac:dyDescent="0.2">
      <c r="A394">
        <v>24151</v>
      </c>
      <c r="B394" t="s">
        <v>35</v>
      </c>
      <c r="C394" s="16" t="str">
        <f t="shared" si="12"/>
        <v>Single</v>
      </c>
      <c r="D394" t="s">
        <v>34</v>
      </c>
      <c r="E394" s="16" t="str">
        <f t="shared" si="13"/>
        <v>Male</v>
      </c>
      <c r="F394" s="1">
        <v>20000</v>
      </c>
      <c r="G394">
        <v>1</v>
      </c>
      <c r="H394" t="s">
        <v>13</v>
      </c>
      <c r="I394" t="s">
        <v>20</v>
      </c>
      <c r="J394" t="s">
        <v>18</v>
      </c>
      <c r="K394">
        <v>0</v>
      </c>
      <c r="L394" t="s">
        <v>16</v>
      </c>
      <c r="M394" t="s">
        <v>17</v>
      </c>
      <c r="N394">
        <v>51</v>
      </c>
      <c r="O394" t="s">
        <v>18</v>
      </c>
    </row>
    <row r="395" spans="1:15" x14ac:dyDescent="0.2">
      <c r="A395">
        <v>23962</v>
      </c>
      <c r="B395" t="s">
        <v>34</v>
      </c>
      <c r="C395" s="16" t="str">
        <f t="shared" si="12"/>
        <v>Married</v>
      </c>
      <c r="D395" t="s">
        <v>33</v>
      </c>
      <c r="E395" s="16" t="str">
        <f t="shared" si="13"/>
        <v>Female</v>
      </c>
      <c r="F395" s="1">
        <v>10000</v>
      </c>
      <c r="G395">
        <v>0</v>
      </c>
      <c r="H395" t="s">
        <v>29</v>
      </c>
      <c r="I395" t="s">
        <v>25</v>
      </c>
      <c r="J395" t="s">
        <v>15</v>
      </c>
      <c r="K395">
        <v>2</v>
      </c>
      <c r="L395" t="s">
        <v>26</v>
      </c>
      <c r="M395" t="s">
        <v>17</v>
      </c>
      <c r="N395">
        <v>32</v>
      </c>
      <c r="O395" t="s">
        <v>18</v>
      </c>
    </row>
    <row r="396" spans="1:15" x14ac:dyDescent="0.2">
      <c r="A396">
        <v>17793</v>
      </c>
      <c r="B396" t="s">
        <v>34</v>
      </c>
      <c r="C396" s="16" t="str">
        <f t="shared" si="12"/>
        <v>Married</v>
      </c>
      <c r="D396" t="s">
        <v>33</v>
      </c>
      <c r="E396" s="16" t="str">
        <f t="shared" si="13"/>
        <v>Female</v>
      </c>
      <c r="F396" s="1">
        <v>40000</v>
      </c>
      <c r="G396">
        <v>0</v>
      </c>
      <c r="H396" t="s">
        <v>13</v>
      </c>
      <c r="I396" t="s">
        <v>20</v>
      </c>
      <c r="J396" t="s">
        <v>15</v>
      </c>
      <c r="K396">
        <v>0</v>
      </c>
      <c r="L396" t="s">
        <v>16</v>
      </c>
      <c r="M396" t="s">
        <v>17</v>
      </c>
      <c r="N396">
        <v>38</v>
      </c>
      <c r="O396" t="s">
        <v>15</v>
      </c>
    </row>
    <row r="397" spans="1:15" x14ac:dyDescent="0.2">
      <c r="A397">
        <v>14926</v>
      </c>
      <c r="B397" t="s">
        <v>34</v>
      </c>
      <c r="C397" s="16" t="str">
        <f t="shared" si="12"/>
        <v>Married</v>
      </c>
      <c r="D397" t="s">
        <v>34</v>
      </c>
      <c r="E397" s="16" t="str">
        <f t="shared" si="13"/>
        <v>Male</v>
      </c>
      <c r="F397" s="1">
        <v>30000</v>
      </c>
      <c r="G397">
        <v>1</v>
      </c>
      <c r="H397" t="s">
        <v>13</v>
      </c>
      <c r="I397" t="s">
        <v>20</v>
      </c>
      <c r="J397" t="s">
        <v>15</v>
      </c>
      <c r="K397">
        <v>0</v>
      </c>
      <c r="L397" t="s">
        <v>16</v>
      </c>
      <c r="M397" t="s">
        <v>17</v>
      </c>
      <c r="N397">
        <v>38</v>
      </c>
      <c r="O397" t="s">
        <v>15</v>
      </c>
    </row>
    <row r="398" spans="1:15" x14ac:dyDescent="0.2">
      <c r="A398">
        <v>16163</v>
      </c>
      <c r="B398" t="s">
        <v>35</v>
      </c>
      <c r="C398" s="16" t="str">
        <f t="shared" si="12"/>
        <v>Single</v>
      </c>
      <c r="D398" t="s">
        <v>34</v>
      </c>
      <c r="E398" s="16" t="str">
        <f t="shared" si="13"/>
        <v>Male</v>
      </c>
      <c r="F398" s="1">
        <v>60000</v>
      </c>
      <c r="G398">
        <v>2</v>
      </c>
      <c r="H398" t="s">
        <v>13</v>
      </c>
      <c r="I398" t="s">
        <v>21</v>
      </c>
      <c r="J398" t="s">
        <v>15</v>
      </c>
      <c r="K398">
        <v>1</v>
      </c>
      <c r="L398" t="s">
        <v>22</v>
      </c>
      <c r="M398" t="s">
        <v>24</v>
      </c>
      <c r="N398">
        <v>38</v>
      </c>
      <c r="O398" t="s">
        <v>15</v>
      </c>
    </row>
    <row r="399" spans="1:15" x14ac:dyDescent="0.2">
      <c r="A399">
        <v>21365</v>
      </c>
      <c r="B399" t="s">
        <v>34</v>
      </c>
      <c r="C399" s="16" t="str">
        <f t="shared" si="12"/>
        <v>Married</v>
      </c>
      <c r="D399" t="s">
        <v>33</v>
      </c>
      <c r="E399" s="16" t="str">
        <f t="shared" si="13"/>
        <v>Female</v>
      </c>
      <c r="F399" s="1">
        <v>10000</v>
      </c>
      <c r="G399">
        <v>2</v>
      </c>
      <c r="H399" t="s">
        <v>29</v>
      </c>
      <c r="I399" t="s">
        <v>20</v>
      </c>
      <c r="J399" t="s">
        <v>15</v>
      </c>
      <c r="K399">
        <v>2</v>
      </c>
      <c r="L399" t="s">
        <v>23</v>
      </c>
      <c r="M399" t="s">
        <v>24</v>
      </c>
      <c r="N399">
        <v>58</v>
      </c>
      <c r="O399" t="s">
        <v>18</v>
      </c>
    </row>
    <row r="400" spans="1:15" x14ac:dyDescent="0.2">
      <c r="A400">
        <v>27771</v>
      </c>
      <c r="B400" t="s">
        <v>35</v>
      </c>
      <c r="C400" s="16" t="str">
        <f t="shared" si="12"/>
        <v>Single</v>
      </c>
      <c r="D400" t="s">
        <v>34</v>
      </c>
      <c r="E400" s="16" t="str">
        <f t="shared" si="13"/>
        <v>Male</v>
      </c>
      <c r="F400" s="1">
        <v>30000</v>
      </c>
      <c r="G400">
        <v>1</v>
      </c>
      <c r="H400" t="s">
        <v>13</v>
      </c>
      <c r="I400" t="s">
        <v>20</v>
      </c>
      <c r="J400" t="s">
        <v>15</v>
      </c>
      <c r="K400">
        <v>1</v>
      </c>
      <c r="L400" t="s">
        <v>26</v>
      </c>
      <c r="M400" t="s">
        <v>17</v>
      </c>
      <c r="N400">
        <v>39</v>
      </c>
      <c r="O400" t="s">
        <v>15</v>
      </c>
    </row>
    <row r="401" spans="1:15" x14ac:dyDescent="0.2">
      <c r="A401">
        <v>26167</v>
      </c>
      <c r="B401" t="s">
        <v>35</v>
      </c>
      <c r="C401" s="16" t="str">
        <f t="shared" si="12"/>
        <v>Single</v>
      </c>
      <c r="D401" t="s">
        <v>33</v>
      </c>
      <c r="E401" s="16" t="str">
        <f t="shared" si="13"/>
        <v>Female</v>
      </c>
      <c r="F401" s="1">
        <v>40000</v>
      </c>
      <c r="G401">
        <v>2</v>
      </c>
      <c r="H401" t="s">
        <v>13</v>
      </c>
      <c r="I401" t="s">
        <v>28</v>
      </c>
      <c r="J401" t="s">
        <v>18</v>
      </c>
      <c r="K401">
        <v>1</v>
      </c>
      <c r="L401" t="s">
        <v>23</v>
      </c>
      <c r="M401" t="s">
        <v>24</v>
      </c>
      <c r="N401">
        <v>53</v>
      </c>
      <c r="O401" t="s">
        <v>15</v>
      </c>
    </row>
    <row r="402" spans="1:15" x14ac:dyDescent="0.2">
      <c r="A402">
        <v>25792</v>
      </c>
      <c r="B402" t="s">
        <v>35</v>
      </c>
      <c r="C402" s="16" t="str">
        <f t="shared" si="12"/>
        <v>Single</v>
      </c>
      <c r="D402" t="s">
        <v>33</v>
      </c>
      <c r="E402" s="16" t="str">
        <f t="shared" si="13"/>
        <v>Female</v>
      </c>
      <c r="F402" s="1">
        <v>110000</v>
      </c>
      <c r="G402">
        <v>3</v>
      </c>
      <c r="H402" t="s">
        <v>13</v>
      </c>
      <c r="I402" t="s">
        <v>28</v>
      </c>
      <c r="J402" t="s">
        <v>15</v>
      </c>
      <c r="K402">
        <v>4</v>
      </c>
      <c r="L402" t="s">
        <v>30</v>
      </c>
      <c r="M402" t="s">
        <v>17</v>
      </c>
      <c r="N402">
        <v>53</v>
      </c>
      <c r="O402" t="s">
        <v>18</v>
      </c>
    </row>
    <row r="403" spans="1:15" x14ac:dyDescent="0.2">
      <c r="A403">
        <v>11555</v>
      </c>
      <c r="B403" t="s">
        <v>34</v>
      </c>
      <c r="C403" s="16" t="str">
        <f t="shared" si="12"/>
        <v>Married</v>
      </c>
      <c r="D403" t="s">
        <v>33</v>
      </c>
      <c r="E403" s="16" t="str">
        <f t="shared" si="13"/>
        <v>Female</v>
      </c>
      <c r="F403" s="1">
        <v>40000</v>
      </c>
      <c r="G403">
        <v>1</v>
      </c>
      <c r="H403" t="s">
        <v>13</v>
      </c>
      <c r="I403" t="s">
        <v>20</v>
      </c>
      <c r="J403" t="s">
        <v>15</v>
      </c>
      <c r="K403">
        <v>0</v>
      </c>
      <c r="L403" t="s">
        <v>16</v>
      </c>
      <c r="M403" t="s">
        <v>17</v>
      </c>
      <c r="N403">
        <v>80</v>
      </c>
      <c r="O403" t="s">
        <v>18</v>
      </c>
    </row>
    <row r="404" spans="1:15" x14ac:dyDescent="0.2">
      <c r="A404">
        <v>22381</v>
      </c>
      <c r="B404" t="s">
        <v>34</v>
      </c>
      <c r="C404" s="16" t="str">
        <f t="shared" si="12"/>
        <v>Married</v>
      </c>
      <c r="D404" t="s">
        <v>34</v>
      </c>
      <c r="E404" s="16" t="str">
        <f t="shared" si="13"/>
        <v>Male</v>
      </c>
      <c r="F404" s="1">
        <v>10000</v>
      </c>
      <c r="G404">
        <v>1</v>
      </c>
      <c r="H404" t="s">
        <v>31</v>
      </c>
      <c r="I404" t="s">
        <v>25</v>
      </c>
      <c r="J404" t="s">
        <v>15</v>
      </c>
      <c r="K404">
        <v>0</v>
      </c>
      <c r="L404" t="s">
        <v>16</v>
      </c>
      <c r="M404" t="s">
        <v>17</v>
      </c>
      <c r="N404">
        <v>44</v>
      </c>
      <c r="O404" t="s">
        <v>18</v>
      </c>
    </row>
    <row r="405" spans="1:15" x14ac:dyDescent="0.2">
      <c r="A405">
        <v>17882</v>
      </c>
      <c r="B405" t="s">
        <v>34</v>
      </c>
      <c r="C405" s="16" t="str">
        <f t="shared" si="12"/>
        <v>Married</v>
      </c>
      <c r="D405" t="s">
        <v>34</v>
      </c>
      <c r="E405" s="16" t="str">
        <f t="shared" si="13"/>
        <v>Male</v>
      </c>
      <c r="F405" s="1">
        <v>20000</v>
      </c>
      <c r="G405">
        <v>1</v>
      </c>
      <c r="H405" t="s">
        <v>31</v>
      </c>
      <c r="I405" t="s">
        <v>20</v>
      </c>
      <c r="J405" t="s">
        <v>15</v>
      </c>
      <c r="K405">
        <v>0</v>
      </c>
      <c r="L405" t="s">
        <v>16</v>
      </c>
      <c r="M405" t="s">
        <v>17</v>
      </c>
      <c r="N405">
        <v>44</v>
      </c>
      <c r="O405" t="s">
        <v>18</v>
      </c>
    </row>
    <row r="406" spans="1:15" x14ac:dyDescent="0.2">
      <c r="A406">
        <v>22174</v>
      </c>
      <c r="B406" t="s">
        <v>34</v>
      </c>
      <c r="C406" s="16" t="str">
        <f t="shared" si="12"/>
        <v>Married</v>
      </c>
      <c r="D406" t="s">
        <v>34</v>
      </c>
      <c r="E406" s="16" t="str">
        <f t="shared" si="13"/>
        <v>Male</v>
      </c>
      <c r="F406" s="1">
        <v>30000</v>
      </c>
      <c r="G406">
        <v>3</v>
      </c>
      <c r="H406" t="s">
        <v>27</v>
      </c>
      <c r="I406" t="s">
        <v>14</v>
      </c>
      <c r="J406" t="s">
        <v>15</v>
      </c>
      <c r="K406">
        <v>2</v>
      </c>
      <c r="L406" t="s">
        <v>23</v>
      </c>
      <c r="M406" t="s">
        <v>24</v>
      </c>
      <c r="N406">
        <v>54</v>
      </c>
      <c r="O406" t="s">
        <v>15</v>
      </c>
    </row>
    <row r="407" spans="1:15" x14ac:dyDescent="0.2">
      <c r="A407">
        <v>22439</v>
      </c>
      <c r="B407" t="s">
        <v>34</v>
      </c>
      <c r="C407" s="16" t="str">
        <f t="shared" si="12"/>
        <v>Married</v>
      </c>
      <c r="D407" t="s">
        <v>33</v>
      </c>
      <c r="E407" s="16" t="str">
        <f t="shared" si="13"/>
        <v>Female</v>
      </c>
      <c r="F407" s="1">
        <v>30000</v>
      </c>
      <c r="G407">
        <v>0</v>
      </c>
      <c r="H407" t="s">
        <v>13</v>
      </c>
      <c r="I407" t="s">
        <v>20</v>
      </c>
      <c r="J407" t="s">
        <v>15</v>
      </c>
      <c r="K407">
        <v>0</v>
      </c>
      <c r="L407" t="s">
        <v>16</v>
      </c>
      <c r="M407" t="s">
        <v>17</v>
      </c>
      <c r="N407">
        <v>37</v>
      </c>
      <c r="O407" t="s">
        <v>15</v>
      </c>
    </row>
    <row r="408" spans="1:15" x14ac:dyDescent="0.2">
      <c r="A408">
        <v>18012</v>
      </c>
      <c r="B408" t="s">
        <v>34</v>
      </c>
      <c r="C408" s="16" t="str">
        <f t="shared" si="12"/>
        <v>Married</v>
      </c>
      <c r="D408" t="s">
        <v>33</v>
      </c>
      <c r="E408" s="16" t="str">
        <f t="shared" si="13"/>
        <v>Female</v>
      </c>
      <c r="F408" s="1">
        <v>40000</v>
      </c>
      <c r="G408">
        <v>1</v>
      </c>
      <c r="H408" t="s">
        <v>13</v>
      </c>
      <c r="I408" t="s">
        <v>14</v>
      </c>
      <c r="J408" t="s">
        <v>15</v>
      </c>
      <c r="K408">
        <v>0</v>
      </c>
      <c r="L408" t="s">
        <v>16</v>
      </c>
      <c r="M408" t="s">
        <v>17</v>
      </c>
      <c r="N408">
        <v>41</v>
      </c>
      <c r="O408" t="s">
        <v>18</v>
      </c>
    </row>
    <row r="409" spans="1:15" x14ac:dyDescent="0.2">
      <c r="A409">
        <v>27582</v>
      </c>
      <c r="B409" t="s">
        <v>35</v>
      </c>
      <c r="C409" s="16" t="str">
        <f t="shared" si="12"/>
        <v>Single</v>
      </c>
      <c r="D409" t="s">
        <v>33</v>
      </c>
      <c r="E409" s="16" t="str">
        <f t="shared" si="13"/>
        <v>Female</v>
      </c>
      <c r="F409" s="1">
        <v>90000</v>
      </c>
      <c r="G409">
        <v>2</v>
      </c>
      <c r="H409" t="s">
        <v>13</v>
      </c>
      <c r="I409" t="s">
        <v>21</v>
      </c>
      <c r="J409" t="s">
        <v>18</v>
      </c>
      <c r="K409">
        <v>0</v>
      </c>
      <c r="L409" t="s">
        <v>16</v>
      </c>
      <c r="M409" t="s">
        <v>24</v>
      </c>
      <c r="N409">
        <v>36</v>
      </c>
      <c r="O409" t="s">
        <v>15</v>
      </c>
    </row>
    <row r="410" spans="1:15" x14ac:dyDescent="0.2">
      <c r="A410">
        <v>12744</v>
      </c>
      <c r="B410" t="s">
        <v>35</v>
      </c>
      <c r="C410" s="16" t="str">
        <f t="shared" si="12"/>
        <v>Single</v>
      </c>
      <c r="D410" t="s">
        <v>33</v>
      </c>
      <c r="E410" s="16" t="str">
        <f t="shared" si="13"/>
        <v>Female</v>
      </c>
      <c r="F410" s="1">
        <v>40000</v>
      </c>
      <c r="G410">
        <v>2</v>
      </c>
      <c r="H410" t="s">
        <v>19</v>
      </c>
      <c r="I410" t="s">
        <v>20</v>
      </c>
      <c r="J410" t="s">
        <v>15</v>
      </c>
      <c r="K410">
        <v>0</v>
      </c>
      <c r="L410" t="s">
        <v>16</v>
      </c>
      <c r="M410" t="s">
        <v>17</v>
      </c>
      <c r="N410">
        <v>33</v>
      </c>
      <c r="O410" t="s">
        <v>18</v>
      </c>
    </row>
    <row r="411" spans="1:15" x14ac:dyDescent="0.2">
      <c r="A411">
        <v>22821</v>
      </c>
      <c r="B411" t="s">
        <v>34</v>
      </c>
      <c r="C411" s="16" t="str">
        <f t="shared" si="12"/>
        <v>Married</v>
      </c>
      <c r="D411" t="s">
        <v>33</v>
      </c>
      <c r="E411" s="16" t="str">
        <f t="shared" si="13"/>
        <v>Female</v>
      </c>
      <c r="F411" s="1">
        <v>130000</v>
      </c>
      <c r="G411">
        <v>3</v>
      </c>
      <c r="H411" t="s">
        <v>19</v>
      </c>
      <c r="I411" t="s">
        <v>21</v>
      </c>
      <c r="J411" t="s">
        <v>15</v>
      </c>
      <c r="K411">
        <v>4</v>
      </c>
      <c r="L411" t="s">
        <v>16</v>
      </c>
      <c r="M411" t="s">
        <v>17</v>
      </c>
      <c r="N411">
        <v>52</v>
      </c>
      <c r="O411" t="s">
        <v>18</v>
      </c>
    </row>
    <row r="412" spans="1:15" x14ac:dyDescent="0.2">
      <c r="A412">
        <v>20171</v>
      </c>
      <c r="B412" t="s">
        <v>34</v>
      </c>
      <c r="C412" s="16" t="str">
        <f t="shared" si="12"/>
        <v>Married</v>
      </c>
      <c r="D412" t="s">
        <v>33</v>
      </c>
      <c r="E412" s="16" t="str">
        <f t="shared" si="13"/>
        <v>Female</v>
      </c>
      <c r="F412" s="1">
        <v>20000</v>
      </c>
      <c r="G412">
        <v>2</v>
      </c>
      <c r="H412" t="s">
        <v>19</v>
      </c>
      <c r="I412" t="s">
        <v>25</v>
      </c>
      <c r="J412" t="s">
        <v>15</v>
      </c>
      <c r="K412">
        <v>1</v>
      </c>
      <c r="L412" t="s">
        <v>16</v>
      </c>
      <c r="M412" t="s">
        <v>17</v>
      </c>
      <c r="N412">
        <v>46</v>
      </c>
      <c r="O412" t="s">
        <v>15</v>
      </c>
    </row>
    <row r="413" spans="1:15" x14ac:dyDescent="0.2">
      <c r="A413">
        <v>11116</v>
      </c>
      <c r="B413" t="s">
        <v>34</v>
      </c>
      <c r="C413" s="16" t="str">
        <f t="shared" si="12"/>
        <v>Married</v>
      </c>
      <c r="D413" t="s">
        <v>34</v>
      </c>
      <c r="E413" s="16" t="str">
        <f t="shared" si="13"/>
        <v>Male</v>
      </c>
      <c r="F413" s="1">
        <v>70000</v>
      </c>
      <c r="G413">
        <v>5</v>
      </c>
      <c r="H413" t="s">
        <v>19</v>
      </c>
      <c r="I413" t="s">
        <v>14</v>
      </c>
      <c r="J413" t="s">
        <v>15</v>
      </c>
      <c r="K413">
        <v>2</v>
      </c>
      <c r="L413" t="s">
        <v>23</v>
      </c>
      <c r="M413" t="s">
        <v>24</v>
      </c>
      <c r="N413">
        <v>43</v>
      </c>
      <c r="O413" t="s">
        <v>18</v>
      </c>
    </row>
    <row r="414" spans="1:15" x14ac:dyDescent="0.2">
      <c r="A414">
        <v>20053</v>
      </c>
      <c r="B414" t="s">
        <v>35</v>
      </c>
      <c r="C414" s="16" t="str">
        <f t="shared" si="12"/>
        <v>Single</v>
      </c>
      <c r="D414" t="s">
        <v>34</v>
      </c>
      <c r="E414" s="16" t="str">
        <f t="shared" si="13"/>
        <v>Male</v>
      </c>
      <c r="F414" s="1">
        <v>40000</v>
      </c>
      <c r="G414">
        <v>2</v>
      </c>
      <c r="H414" t="s">
        <v>19</v>
      </c>
      <c r="I414" t="s">
        <v>20</v>
      </c>
      <c r="J414" t="s">
        <v>15</v>
      </c>
      <c r="K414">
        <v>0</v>
      </c>
      <c r="L414" t="s">
        <v>16</v>
      </c>
      <c r="M414" t="s">
        <v>17</v>
      </c>
      <c r="N414">
        <v>34</v>
      </c>
      <c r="O414" t="s">
        <v>18</v>
      </c>
    </row>
    <row r="415" spans="1:15" x14ac:dyDescent="0.2">
      <c r="A415">
        <v>25266</v>
      </c>
      <c r="B415" t="s">
        <v>35</v>
      </c>
      <c r="C415" s="16" t="str">
        <f t="shared" si="12"/>
        <v>Single</v>
      </c>
      <c r="D415" t="s">
        <v>33</v>
      </c>
      <c r="E415" s="16" t="str">
        <f t="shared" si="13"/>
        <v>Female</v>
      </c>
      <c r="F415" s="1">
        <v>30000</v>
      </c>
      <c r="G415">
        <v>2</v>
      </c>
      <c r="H415" t="s">
        <v>19</v>
      </c>
      <c r="I415" t="s">
        <v>20</v>
      </c>
      <c r="J415" t="s">
        <v>18</v>
      </c>
      <c r="K415">
        <v>2</v>
      </c>
      <c r="L415" t="s">
        <v>23</v>
      </c>
      <c r="M415" t="s">
        <v>24</v>
      </c>
      <c r="N415">
        <v>67</v>
      </c>
      <c r="O415" t="s">
        <v>18</v>
      </c>
    </row>
    <row r="416" spans="1:15" x14ac:dyDescent="0.2">
      <c r="A416">
        <v>17960</v>
      </c>
      <c r="B416" t="s">
        <v>34</v>
      </c>
      <c r="C416" s="16" t="str">
        <f t="shared" si="12"/>
        <v>Married</v>
      </c>
      <c r="D416" t="s">
        <v>33</v>
      </c>
      <c r="E416" s="16" t="str">
        <f t="shared" si="13"/>
        <v>Female</v>
      </c>
      <c r="F416" s="1">
        <v>40000</v>
      </c>
      <c r="G416">
        <v>0</v>
      </c>
      <c r="H416" t="s">
        <v>31</v>
      </c>
      <c r="I416" t="s">
        <v>20</v>
      </c>
      <c r="J416" t="s">
        <v>15</v>
      </c>
      <c r="K416">
        <v>0</v>
      </c>
      <c r="L416" t="s">
        <v>16</v>
      </c>
      <c r="M416" t="s">
        <v>17</v>
      </c>
      <c r="N416">
        <v>35</v>
      </c>
      <c r="O416" t="s">
        <v>15</v>
      </c>
    </row>
    <row r="417" spans="1:15" x14ac:dyDescent="0.2">
      <c r="A417">
        <v>13961</v>
      </c>
      <c r="B417" t="s">
        <v>34</v>
      </c>
      <c r="C417" s="16" t="str">
        <f t="shared" si="12"/>
        <v>Married</v>
      </c>
      <c r="D417" t="s">
        <v>33</v>
      </c>
      <c r="E417" s="16" t="str">
        <f t="shared" si="13"/>
        <v>Female</v>
      </c>
      <c r="F417" s="1">
        <v>80000</v>
      </c>
      <c r="G417">
        <v>5</v>
      </c>
      <c r="H417" t="s">
        <v>31</v>
      </c>
      <c r="I417" t="s">
        <v>28</v>
      </c>
      <c r="J417" t="s">
        <v>15</v>
      </c>
      <c r="K417">
        <v>3</v>
      </c>
      <c r="L417" t="s">
        <v>16</v>
      </c>
      <c r="M417" t="s">
        <v>24</v>
      </c>
      <c r="N417">
        <v>40</v>
      </c>
      <c r="O417" t="s">
        <v>18</v>
      </c>
    </row>
    <row r="418" spans="1:15" x14ac:dyDescent="0.2">
      <c r="A418">
        <v>11897</v>
      </c>
      <c r="B418" t="s">
        <v>35</v>
      </c>
      <c r="C418" s="16" t="str">
        <f t="shared" si="12"/>
        <v>Single</v>
      </c>
      <c r="D418" t="s">
        <v>34</v>
      </c>
      <c r="E418" s="16" t="str">
        <f t="shared" si="13"/>
        <v>Male</v>
      </c>
      <c r="F418" s="1">
        <v>60000</v>
      </c>
      <c r="G418">
        <v>2</v>
      </c>
      <c r="H418" t="s">
        <v>13</v>
      </c>
      <c r="I418" t="s">
        <v>21</v>
      </c>
      <c r="J418" t="s">
        <v>18</v>
      </c>
      <c r="K418">
        <v>1</v>
      </c>
      <c r="L418" t="s">
        <v>16</v>
      </c>
      <c r="M418" t="s">
        <v>24</v>
      </c>
      <c r="N418">
        <v>37</v>
      </c>
      <c r="O418" t="s">
        <v>15</v>
      </c>
    </row>
    <row r="419" spans="1:15" x14ac:dyDescent="0.2">
      <c r="A419">
        <v>11139</v>
      </c>
      <c r="B419" t="s">
        <v>35</v>
      </c>
      <c r="C419" s="16" t="str">
        <f t="shared" si="12"/>
        <v>Single</v>
      </c>
      <c r="D419" t="s">
        <v>33</v>
      </c>
      <c r="E419" s="16" t="str">
        <f t="shared" si="13"/>
        <v>Female</v>
      </c>
      <c r="F419" s="1">
        <v>30000</v>
      </c>
      <c r="G419">
        <v>2</v>
      </c>
      <c r="H419" t="s">
        <v>19</v>
      </c>
      <c r="I419" t="s">
        <v>20</v>
      </c>
      <c r="J419" t="s">
        <v>18</v>
      </c>
      <c r="K419">
        <v>2</v>
      </c>
      <c r="L419" t="s">
        <v>23</v>
      </c>
      <c r="M419" t="s">
        <v>24</v>
      </c>
      <c r="N419">
        <v>67</v>
      </c>
      <c r="O419" t="s">
        <v>18</v>
      </c>
    </row>
    <row r="420" spans="1:15" x14ac:dyDescent="0.2">
      <c r="A420">
        <v>11576</v>
      </c>
      <c r="B420" t="s">
        <v>34</v>
      </c>
      <c r="C420" s="16" t="str">
        <f t="shared" si="12"/>
        <v>Married</v>
      </c>
      <c r="D420" t="s">
        <v>34</v>
      </c>
      <c r="E420" s="16" t="str">
        <f t="shared" si="13"/>
        <v>Male</v>
      </c>
      <c r="F420" s="1">
        <v>30000</v>
      </c>
      <c r="G420">
        <v>1</v>
      </c>
      <c r="H420" t="s">
        <v>13</v>
      </c>
      <c r="I420" t="s">
        <v>14</v>
      </c>
      <c r="J420" t="s">
        <v>15</v>
      </c>
      <c r="K420">
        <v>2</v>
      </c>
      <c r="L420" t="s">
        <v>16</v>
      </c>
      <c r="M420" t="s">
        <v>17</v>
      </c>
      <c r="N420">
        <v>41</v>
      </c>
      <c r="O420" t="s">
        <v>15</v>
      </c>
    </row>
    <row r="421" spans="1:15" x14ac:dyDescent="0.2">
      <c r="A421">
        <v>19255</v>
      </c>
      <c r="B421" t="s">
        <v>35</v>
      </c>
      <c r="C421" s="16" t="str">
        <f t="shared" si="12"/>
        <v>Single</v>
      </c>
      <c r="D421" t="s">
        <v>34</v>
      </c>
      <c r="E421" s="16" t="str">
        <f t="shared" si="13"/>
        <v>Male</v>
      </c>
      <c r="F421" s="1">
        <v>10000</v>
      </c>
      <c r="G421">
        <v>2</v>
      </c>
      <c r="H421" t="s">
        <v>19</v>
      </c>
      <c r="I421" t="s">
        <v>25</v>
      </c>
      <c r="J421" t="s">
        <v>15</v>
      </c>
      <c r="K421">
        <v>1</v>
      </c>
      <c r="L421" t="s">
        <v>16</v>
      </c>
      <c r="M421" t="s">
        <v>17</v>
      </c>
      <c r="N421">
        <v>51</v>
      </c>
      <c r="O421" t="s">
        <v>15</v>
      </c>
    </row>
    <row r="422" spans="1:15" x14ac:dyDescent="0.2">
      <c r="A422">
        <v>18153</v>
      </c>
      <c r="B422" t="s">
        <v>34</v>
      </c>
      <c r="C422" s="16" t="str">
        <f t="shared" si="12"/>
        <v>Married</v>
      </c>
      <c r="D422" t="s">
        <v>33</v>
      </c>
      <c r="E422" s="16" t="str">
        <f t="shared" si="13"/>
        <v>Female</v>
      </c>
      <c r="F422" s="1">
        <v>100000</v>
      </c>
      <c r="G422">
        <v>2</v>
      </c>
      <c r="H422" t="s">
        <v>13</v>
      </c>
      <c r="I422" t="s">
        <v>28</v>
      </c>
      <c r="J422" t="s">
        <v>15</v>
      </c>
      <c r="K422">
        <v>4</v>
      </c>
      <c r="L422" t="s">
        <v>30</v>
      </c>
      <c r="M422" t="s">
        <v>17</v>
      </c>
      <c r="N422">
        <v>59</v>
      </c>
      <c r="O422" t="s">
        <v>18</v>
      </c>
    </row>
    <row r="423" spans="1:15" x14ac:dyDescent="0.2">
      <c r="A423">
        <v>14547</v>
      </c>
      <c r="B423" t="s">
        <v>34</v>
      </c>
      <c r="C423" s="16" t="str">
        <f t="shared" si="12"/>
        <v>Married</v>
      </c>
      <c r="D423" t="s">
        <v>34</v>
      </c>
      <c r="E423" s="16" t="str">
        <f t="shared" si="13"/>
        <v>Male</v>
      </c>
      <c r="F423" s="1">
        <v>10000</v>
      </c>
      <c r="G423">
        <v>2</v>
      </c>
      <c r="H423" t="s">
        <v>19</v>
      </c>
      <c r="I423" t="s">
        <v>25</v>
      </c>
      <c r="J423" t="s">
        <v>15</v>
      </c>
      <c r="K423">
        <v>0</v>
      </c>
      <c r="L423" t="s">
        <v>26</v>
      </c>
      <c r="M423" t="s">
        <v>17</v>
      </c>
      <c r="N423">
        <v>51</v>
      </c>
      <c r="O423" t="s">
        <v>18</v>
      </c>
    </row>
    <row r="424" spans="1:15" x14ac:dyDescent="0.2">
      <c r="A424">
        <v>24901</v>
      </c>
      <c r="B424" t="s">
        <v>35</v>
      </c>
      <c r="C424" s="16" t="str">
        <f t="shared" si="12"/>
        <v>Single</v>
      </c>
      <c r="D424" t="s">
        <v>34</v>
      </c>
      <c r="E424" s="16" t="str">
        <f t="shared" si="13"/>
        <v>Male</v>
      </c>
      <c r="F424" s="1">
        <v>110000</v>
      </c>
      <c r="G424">
        <v>0</v>
      </c>
      <c r="H424" t="s">
        <v>19</v>
      </c>
      <c r="I424" t="s">
        <v>28</v>
      </c>
      <c r="J424" t="s">
        <v>18</v>
      </c>
      <c r="K424">
        <v>3</v>
      </c>
      <c r="L424" t="s">
        <v>30</v>
      </c>
      <c r="M424" t="s">
        <v>24</v>
      </c>
      <c r="N424">
        <v>32</v>
      </c>
      <c r="O424" t="s">
        <v>15</v>
      </c>
    </row>
    <row r="425" spans="1:15" x14ac:dyDescent="0.2">
      <c r="A425">
        <v>27169</v>
      </c>
      <c r="B425" t="s">
        <v>35</v>
      </c>
      <c r="C425" s="16" t="str">
        <f t="shared" si="12"/>
        <v>Single</v>
      </c>
      <c r="D425" t="s">
        <v>34</v>
      </c>
      <c r="E425" s="16" t="str">
        <f t="shared" si="13"/>
        <v>Male</v>
      </c>
      <c r="F425" s="1">
        <v>30000</v>
      </c>
      <c r="G425">
        <v>0</v>
      </c>
      <c r="H425" t="s">
        <v>27</v>
      </c>
      <c r="I425" t="s">
        <v>25</v>
      </c>
      <c r="J425" t="s">
        <v>15</v>
      </c>
      <c r="K425">
        <v>1</v>
      </c>
      <c r="L425" t="s">
        <v>22</v>
      </c>
      <c r="M425" t="s">
        <v>17</v>
      </c>
      <c r="N425">
        <v>34</v>
      </c>
      <c r="O425" t="s">
        <v>15</v>
      </c>
    </row>
    <row r="426" spans="1:15" x14ac:dyDescent="0.2">
      <c r="A426">
        <v>14805</v>
      </c>
      <c r="B426" t="s">
        <v>35</v>
      </c>
      <c r="C426" s="16" t="str">
        <f t="shared" si="12"/>
        <v>Single</v>
      </c>
      <c r="D426" t="s">
        <v>33</v>
      </c>
      <c r="E426" s="16" t="str">
        <f t="shared" si="13"/>
        <v>Female</v>
      </c>
      <c r="F426" s="1">
        <v>10000</v>
      </c>
      <c r="G426">
        <v>3</v>
      </c>
      <c r="H426" t="s">
        <v>29</v>
      </c>
      <c r="I426" t="s">
        <v>25</v>
      </c>
      <c r="J426" t="s">
        <v>15</v>
      </c>
      <c r="K426">
        <v>2</v>
      </c>
      <c r="L426" t="s">
        <v>16</v>
      </c>
      <c r="M426" t="s">
        <v>17</v>
      </c>
      <c r="N426">
        <v>43</v>
      </c>
      <c r="O426" t="s">
        <v>18</v>
      </c>
    </row>
    <row r="427" spans="1:15" x14ac:dyDescent="0.2">
      <c r="A427">
        <v>15822</v>
      </c>
      <c r="B427" t="s">
        <v>34</v>
      </c>
      <c r="C427" s="16" t="str">
        <f t="shared" si="12"/>
        <v>Married</v>
      </c>
      <c r="D427" t="s">
        <v>34</v>
      </c>
      <c r="E427" s="16" t="str">
        <f t="shared" si="13"/>
        <v>Male</v>
      </c>
      <c r="F427" s="1">
        <v>40000</v>
      </c>
      <c r="G427">
        <v>2</v>
      </c>
      <c r="H427" t="s">
        <v>13</v>
      </c>
      <c r="I427" t="s">
        <v>28</v>
      </c>
      <c r="J427" t="s">
        <v>15</v>
      </c>
      <c r="K427">
        <v>2</v>
      </c>
      <c r="L427" t="s">
        <v>16</v>
      </c>
      <c r="M427" t="s">
        <v>24</v>
      </c>
      <c r="N427">
        <v>67</v>
      </c>
      <c r="O427" t="s">
        <v>18</v>
      </c>
    </row>
    <row r="428" spans="1:15" x14ac:dyDescent="0.2">
      <c r="A428">
        <v>19389</v>
      </c>
      <c r="B428" t="s">
        <v>35</v>
      </c>
      <c r="C428" s="16" t="str">
        <f t="shared" si="12"/>
        <v>Single</v>
      </c>
      <c r="D428" t="s">
        <v>34</v>
      </c>
      <c r="E428" s="16" t="str">
        <f t="shared" si="13"/>
        <v>Male</v>
      </c>
      <c r="F428" s="1">
        <v>30000</v>
      </c>
      <c r="G428">
        <v>0</v>
      </c>
      <c r="H428" t="s">
        <v>19</v>
      </c>
      <c r="I428" t="s">
        <v>20</v>
      </c>
      <c r="J428" t="s">
        <v>18</v>
      </c>
      <c r="K428">
        <v>1</v>
      </c>
      <c r="L428" t="s">
        <v>22</v>
      </c>
      <c r="M428" t="s">
        <v>17</v>
      </c>
      <c r="N428">
        <v>28</v>
      </c>
      <c r="O428" t="s">
        <v>18</v>
      </c>
    </row>
    <row r="429" spans="1:15" x14ac:dyDescent="0.2">
      <c r="A429">
        <v>17048</v>
      </c>
      <c r="B429" t="s">
        <v>35</v>
      </c>
      <c r="C429" s="16" t="str">
        <f t="shared" si="12"/>
        <v>Single</v>
      </c>
      <c r="D429" t="s">
        <v>33</v>
      </c>
      <c r="E429" s="16" t="str">
        <f t="shared" si="13"/>
        <v>Female</v>
      </c>
      <c r="F429" s="1">
        <v>90000</v>
      </c>
      <c r="G429">
        <v>1</v>
      </c>
      <c r="H429" t="s">
        <v>31</v>
      </c>
      <c r="I429" t="s">
        <v>28</v>
      </c>
      <c r="J429" t="s">
        <v>15</v>
      </c>
      <c r="K429">
        <v>0</v>
      </c>
      <c r="L429" t="s">
        <v>16</v>
      </c>
      <c r="M429" t="s">
        <v>24</v>
      </c>
      <c r="N429">
        <v>36</v>
      </c>
      <c r="O429" t="s">
        <v>15</v>
      </c>
    </row>
    <row r="430" spans="1:15" x14ac:dyDescent="0.2">
      <c r="A430">
        <v>22204</v>
      </c>
      <c r="B430" t="s">
        <v>34</v>
      </c>
      <c r="C430" s="16" t="str">
        <f t="shared" si="12"/>
        <v>Married</v>
      </c>
      <c r="D430" t="s">
        <v>34</v>
      </c>
      <c r="E430" s="16" t="str">
        <f t="shared" si="13"/>
        <v>Male</v>
      </c>
      <c r="F430" s="1">
        <v>110000</v>
      </c>
      <c r="G430">
        <v>4</v>
      </c>
      <c r="H430" t="s">
        <v>13</v>
      </c>
      <c r="I430" t="s">
        <v>28</v>
      </c>
      <c r="J430" t="s">
        <v>15</v>
      </c>
      <c r="K430">
        <v>3</v>
      </c>
      <c r="L430" t="s">
        <v>22</v>
      </c>
      <c r="M430" t="s">
        <v>24</v>
      </c>
      <c r="N430">
        <v>48</v>
      </c>
      <c r="O430" t="s">
        <v>18</v>
      </c>
    </row>
    <row r="431" spans="1:15" x14ac:dyDescent="0.2">
      <c r="A431">
        <v>12718</v>
      </c>
      <c r="B431" t="s">
        <v>35</v>
      </c>
      <c r="C431" s="16" t="str">
        <f t="shared" si="12"/>
        <v>Single</v>
      </c>
      <c r="D431" t="s">
        <v>33</v>
      </c>
      <c r="E431" s="16" t="str">
        <f t="shared" si="13"/>
        <v>Female</v>
      </c>
      <c r="F431" s="1">
        <v>30000</v>
      </c>
      <c r="G431">
        <v>0</v>
      </c>
      <c r="H431" t="s">
        <v>19</v>
      </c>
      <c r="I431" t="s">
        <v>20</v>
      </c>
      <c r="J431" t="s">
        <v>15</v>
      </c>
      <c r="K431">
        <v>1</v>
      </c>
      <c r="L431" t="s">
        <v>22</v>
      </c>
      <c r="M431" t="s">
        <v>17</v>
      </c>
      <c r="N431">
        <v>31</v>
      </c>
      <c r="O431" t="s">
        <v>18</v>
      </c>
    </row>
    <row r="432" spans="1:15" x14ac:dyDescent="0.2">
      <c r="A432">
        <v>15019</v>
      </c>
      <c r="B432" t="s">
        <v>35</v>
      </c>
      <c r="C432" s="16" t="str">
        <f t="shared" si="12"/>
        <v>Single</v>
      </c>
      <c r="D432" t="s">
        <v>33</v>
      </c>
      <c r="E432" s="16" t="str">
        <f t="shared" si="13"/>
        <v>Female</v>
      </c>
      <c r="F432" s="1">
        <v>30000</v>
      </c>
      <c r="G432">
        <v>3</v>
      </c>
      <c r="H432" t="s">
        <v>27</v>
      </c>
      <c r="I432" t="s">
        <v>14</v>
      </c>
      <c r="J432" t="s">
        <v>15</v>
      </c>
      <c r="K432">
        <v>2</v>
      </c>
      <c r="L432" t="s">
        <v>23</v>
      </c>
      <c r="M432" t="s">
        <v>24</v>
      </c>
      <c r="N432">
        <v>55</v>
      </c>
      <c r="O432" t="s">
        <v>18</v>
      </c>
    </row>
    <row r="433" spans="1:15" x14ac:dyDescent="0.2">
      <c r="A433">
        <v>28488</v>
      </c>
      <c r="B433" t="s">
        <v>35</v>
      </c>
      <c r="C433" s="16" t="str">
        <f t="shared" si="12"/>
        <v>Single</v>
      </c>
      <c r="D433" t="s">
        <v>34</v>
      </c>
      <c r="E433" s="16" t="str">
        <f t="shared" si="13"/>
        <v>Male</v>
      </c>
      <c r="F433" s="1">
        <v>20000</v>
      </c>
      <c r="G433">
        <v>0</v>
      </c>
      <c r="H433" t="s">
        <v>19</v>
      </c>
      <c r="I433" t="s">
        <v>25</v>
      </c>
      <c r="J433" t="s">
        <v>15</v>
      </c>
      <c r="K433">
        <v>0</v>
      </c>
      <c r="L433" t="s">
        <v>16</v>
      </c>
      <c r="M433" t="s">
        <v>24</v>
      </c>
      <c r="N433">
        <v>28</v>
      </c>
      <c r="O433" t="s">
        <v>15</v>
      </c>
    </row>
    <row r="434" spans="1:15" x14ac:dyDescent="0.2">
      <c r="A434">
        <v>21891</v>
      </c>
      <c r="B434" t="s">
        <v>34</v>
      </c>
      <c r="C434" s="16" t="str">
        <f t="shared" si="12"/>
        <v>Married</v>
      </c>
      <c r="D434" t="s">
        <v>33</v>
      </c>
      <c r="E434" s="16" t="str">
        <f t="shared" si="13"/>
        <v>Female</v>
      </c>
      <c r="F434" s="1">
        <v>110000</v>
      </c>
      <c r="G434">
        <v>0</v>
      </c>
      <c r="H434" t="s">
        <v>27</v>
      </c>
      <c r="I434" t="s">
        <v>28</v>
      </c>
      <c r="J434" t="s">
        <v>15</v>
      </c>
      <c r="K434">
        <v>3</v>
      </c>
      <c r="L434" t="s">
        <v>30</v>
      </c>
      <c r="M434" t="s">
        <v>24</v>
      </c>
      <c r="N434">
        <v>34</v>
      </c>
      <c r="O434" t="s">
        <v>15</v>
      </c>
    </row>
    <row r="435" spans="1:15" x14ac:dyDescent="0.2">
      <c r="A435">
        <v>27814</v>
      </c>
      <c r="B435" t="s">
        <v>35</v>
      </c>
      <c r="C435" s="16" t="str">
        <f t="shared" si="12"/>
        <v>Single</v>
      </c>
      <c r="D435" t="s">
        <v>33</v>
      </c>
      <c r="E435" s="16" t="str">
        <f t="shared" si="13"/>
        <v>Female</v>
      </c>
      <c r="F435" s="1">
        <v>30000</v>
      </c>
      <c r="G435">
        <v>3</v>
      </c>
      <c r="H435" t="s">
        <v>19</v>
      </c>
      <c r="I435" t="s">
        <v>20</v>
      </c>
      <c r="J435" t="s">
        <v>18</v>
      </c>
      <c r="K435">
        <v>1</v>
      </c>
      <c r="L435" t="s">
        <v>16</v>
      </c>
      <c r="M435" t="s">
        <v>17</v>
      </c>
      <c r="N435">
        <v>26</v>
      </c>
      <c r="O435" t="s">
        <v>18</v>
      </c>
    </row>
    <row r="436" spans="1:15" x14ac:dyDescent="0.2">
      <c r="A436">
        <v>22175</v>
      </c>
      <c r="B436" t="s">
        <v>34</v>
      </c>
      <c r="C436" s="16" t="str">
        <f t="shared" si="12"/>
        <v>Married</v>
      </c>
      <c r="D436" t="s">
        <v>33</v>
      </c>
      <c r="E436" s="16" t="str">
        <f t="shared" si="13"/>
        <v>Female</v>
      </c>
      <c r="F436" s="1">
        <v>30000</v>
      </c>
      <c r="G436">
        <v>3</v>
      </c>
      <c r="H436" t="s">
        <v>27</v>
      </c>
      <c r="I436" t="s">
        <v>14</v>
      </c>
      <c r="J436" t="s">
        <v>15</v>
      </c>
      <c r="K436">
        <v>2</v>
      </c>
      <c r="L436" t="s">
        <v>23</v>
      </c>
      <c r="M436" t="s">
        <v>24</v>
      </c>
      <c r="N436">
        <v>53</v>
      </c>
      <c r="O436" t="s">
        <v>15</v>
      </c>
    </row>
    <row r="437" spans="1:15" x14ac:dyDescent="0.2">
      <c r="A437">
        <v>29447</v>
      </c>
      <c r="B437" t="s">
        <v>35</v>
      </c>
      <c r="C437" s="16" t="str">
        <f t="shared" si="12"/>
        <v>Single</v>
      </c>
      <c r="D437" t="s">
        <v>33</v>
      </c>
      <c r="E437" s="16" t="str">
        <f t="shared" si="13"/>
        <v>Female</v>
      </c>
      <c r="F437" s="1">
        <v>10000</v>
      </c>
      <c r="G437">
        <v>2</v>
      </c>
      <c r="H437" t="s">
        <v>13</v>
      </c>
      <c r="I437" t="s">
        <v>20</v>
      </c>
      <c r="J437" t="s">
        <v>18</v>
      </c>
      <c r="K437">
        <v>1</v>
      </c>
      <c r="L437" t="s">
        <v>22</v>
      </c>
      <c r="M437" t="s">
        <v>17</v>
      </c>
      <c r="N437">
        <v>68</v>
      </c>
      <c r="O437" t="s">
        <v>18</v>
      </c>
    </row>
    <row r="438" spans="1:15" x14ac:dyDescent="0.2">
      <c r="A438">
        <v>19784</v>
      </c>
      <c r="B438" t="s">
        <v>34</v>
      </c>
      <c r="C438" s="16" t="str">
        <f t="shared" si="12"/>
        <v>Married</v>
      </c>
      <c r="D438" t="s">
        <v>33</v>
      </c>
      <c r="E438" s="16" t="str">
        <f t="shared" si="13"/>
        <v>Female</v>
      </c>
      <c r="F438" s="1">
        <v>80000</v>
      </c>
      <c r="G438">
        <v>2</v>
      </c>
      <c r="H438" t="s">
        <v>27</v>
      </c>
      <c r="I438" t="s">
        <v>14</v>
      </c>
      <c r="J438" t="s">
        <v>15</v>
      </c>
      <c r="K438">
        <v>2</v>
      </c>
      <c r="L438" t="s">
        <v>23</v>
      </c>
      <c r="M438" t="s">
        <v>24</v>
      </c>
      <c r="N438">
        <v>50</v>
      </c>
      <c r="O438" t="s">
        <v>15</v>
      </c>
    </row>
    <row r="439" spans="1:15" x14ac:dyDescent="0.2">
      <c r="A439">
        <v>27824</v>
      </c>
      <c r="B439" t="s">
        <v>35</v>
      </c>
      <c r="C439" s="16" t="str">
        <f t="shared" si="12"/>
        <v>Single</v>
      </c>
      <c r="D439" t="s">
        <v>33</v>
      </c>
      <c r="E439" s="16" t="str">
        <f t="shared" si="13"/>
        <v>Female</v>
      </c>
      <c r="F439" s="1">
        <v>30000</v>
      </c>
      <c r="G439">
        <v>3</v>
      </c>
      <c r="H439" t="s">
        <v>19</v>
      </c>
      <c r="I439" t="s">
        <v>20</v>
      </c>
      <c r="J439" t="s">
        <v>15</v>
      </c>
      <c r="K439">
        <v>2</v>
      </c>
      <c r="L439" t="s">
        <v>16</v>
      </c>
      <c r="M439" t="s">
        <v>17</v>
      </c>
      <c r="N439">
        <v>28</v>
      </c>
      <c r="O439" t="s">
        <v>15</v>
      </c>
    </row>
    <row r="440" spans="1:15" x14ac:dyDescent="0.2">
      <c r="A440">
        <v>24093</v>
      </c>
      <c r="B440" t="s">
        <v>35</v>
      </c>
      <c r="C440" s="16" t="str">
        <f t="shared" si="12"/>
        <v>Single</v>
      </c>
      <c r="D440" t="s">
        <v>33</v>
      </c>
      <c r="E440" s="16" t="str">
        <f t="shared" si="13"/>
        <v>Female</v>
      </c>
      <c r="F440" s="1">
        <v>80000</v>
      </c>
      <c r="G440">
        <v>0</v>
      </c>
      <c r="H440" t="s">
        <v>31</v>
      </c>
      <c r="I440" t="s">
        <v>14</v>
      </c>
      <c r="J440" t="s">
        <v>18</v>
      </c>
      <c r="K440">
        <v>0</v>
      </c>
      <c r="L440" t="s">
        <v>16</v>
      </c>
      <c r="M440" t="s">
        <v>17</v>
      </c>
      <c r="N440">
        <v>40</v>
      </c>
      <c r="O440" t="s">
        <v>15</v>
      </c>
    </row>
    <row r="441" spans="1:15" x14ac:dyDescent="0.2">
      <c r="A441">
        <v>19618</v>
      </c>
      <c r="B441" t="s">
        <v>34</v>
      </c>
      <c r="C441" s="16" t="str">
        <f t="shared" si="12"/>
        <v>Married</v>
      </c>
      <c r="D441" t="s">
        <v>34</v>
      </c>
      <c r="E441" s="16" t="str">
        <f t="shared" si="13"/>
        <v>Male</v>
      </c>
      <c r="F441" s="1">
        <v>70000</v>
      </c>
      <c r="G441">
        <v>5</v>
      </c>
      <c r="H441" t="s">
        <v>19</v>
      </c>
      <c r="I441" t="s">
        <v>14</v>
      </c>
      <c r="J441" t="s">
        <v>15</v>
      </c>
      <c r="K441">
        <v>2</v>
      </c>
      <c r="L441" t="s">
        <v>16</v>
      </c>
      <c r="M441" t="s">
        <v>24</v>
      </c>
      <c r="N441">
        <v>44</v>
      </c>
      <c r="O441" t="s">
        <v>18</v>
      </c>
    </row>
    <row r="442" spans="1:15" x14ac:dyDescent="0.2">
      <c r="A442">
        <v>21561</v>
      </c>
      <c r="B442" t="s">
        <v>35</v>
      </c>
      <c r="C442" s="16" t="str">
        <f t="shared" si="12"/>
        <v>Single</v>
      </c>
      <c r="D442" t="s">
        <v>34</v>
      </c>
      <c r="E442" s="16" t="str">
        <f t="shared" si="13"/>
        <v>Male</v>
      </c>
      <c r="F442" s="1">
        <v>90000</v>
      </c>
      <c r="G442">
        <v>0</v>
      </c>
      <c r="H442" t="s">
        <v>13</v>
      </c>
      <c r="I442" t="s">
        <v>21</v>
      </c>
      <c r="J442" t="s">
        <v>18</v>
      </c>
      <c r="K442">
        <v>3</v>
      </c>
      <c r="L442" t="s">
        <v>30</v>
      </c>
      <c r="M442" t="s">
        <v>24</v>
      </c>
      <c r="N442">
        <v>34</v>
      </c>
      <c r="O442" t="s">
        <v>15</v>
      </c>
    </row>
    <row r="443" spans="1:15" x14ac:dyDescent="0.2">
      <c r="A443">
        <v>11061</v>
      </c>
      <c r="B443" t="s">
        <v>34</v>
      </c>
      <c r="C443" s="16" t="str">
        <f t="shared" si="12"/>
        <v>Married</v>
      </c>
      <c r="D443" t="s">
        <v>34</v>
      </c>
      <c r="E443" s="16" t="str">
        <f t="shared" si="13"/>
        <v>Male</v>
      </c>
      <c r="F443" s="1">
        <v>70000</v>
      </c>
      <c r="G443">
        <v>2</v>
      </c>
      <c r="H443" t="s">
        <v>19</v>
      </c>
      <c r="I443" t="s">
        <v>14</v>
      </c>
      <c r="J443" t="s">
        <v>15</v>
      </c>
      <c r="K443">
        <v>2</v>
      </c>
      <c r="L443" t="s">
        <v>23</v>
      </c>
      <c r="M443" t="s">
        <v>24</v>
      </c>
      <c r="N443">
        <v>52</v>
      </c>
      <c r="O443" t="s">
        <v>15</v>
      </c>
    </row>
    <row r="444" spans="1:15" x14ac:dyDescent="0.2">
      <c r="A444">
        <v>26651</v>
      </c>
      <c r="B444" t="s">
        <v>35</v>
      </c>
      <c r="C444" s="16" t="str">
        <f t="shared" si="12"/>
        <v>Single</v>
      </c>
      <c r="D444" t="s">
        <v>34</v>
      </c>
      <c r="E444" s="16" t="str">
        <f t="shared" si="13"/>
        <v>Male</v>
      </c>
      <c r="F444" s="1">
        <v>80000</v>
      </c>
      <c r="G444">
        <v>4</v>
      </c>
      <c r="H444" t="s">
        <v>31</v>
      </c>
      <c r="I444" t="s">
        <v>28</v>
      </c>
      <c r="J444" t="s">
        <v>15</v>
      </c>
      <c r="K444">
        <v>0</v>
      </c>
      <c r="L444" t="s">
        <v>16</v>
      </c>
      <c r="M444" t="s">
        <v>24</v>
      </c>
      <c r="N444">
        <v>36</v>
      </c>
      <c r="O444" t="s">
        <v>15</v>
      </c>
    </row>
    <row r="445" spans="1:15" x14ac:dyDescent="0.2">
      <c r="A445">
        <v>21108</v>
      </c>
      <c r="B445" t="s">
        <v>34</v>
      </c>
      <c r="C445" s="16" t="str">
        <f t="shared" si="12"/>
        <v>Married</v>
      </c>
      <c r="D445" t="s">
        <v>33</v>
      </c>
      <c r="E445" s="16" t="str">
        <f t="shared" si="13"/>
        <v>Female</v>
      </c>
      <c r="F445" s="1">
        <v>40000</v>
      </c>
      <c r="G445">
        <v>1</v>
      </c>
      <c r="H445" t="s">
        <v>13</v>
      </c>
      <c r="I445" t="s">
        <v>14</v>
      </c>
      <c r="J445" t="s">
        <v>15</v>
      </c>
      <c r="K445">
        <v>1</v>
      </c>
      <c r="L445" t="s">
        <v>16</v>
      </c>
      <c r="M445" t="s">
        <v>17</v>
      </c>
      <c r="N445">
        <v>43</v>
      </c>
      <c r="O445" t="s">
        <v>15</v>
      </c>
    </row>
    <row r="446" spans="1:15" x14ac:dyDescent="0.2">
      <c r="A446">
        <v>12731</v>
      </c>
      <c r="B446" t="s">
        <v>35</v>
      </c>
      <c r="C446" s="16" t="str">
        <f t="shared" si="12"/>
        <v>Single</v>
      </c>
      <c r="D446" t="s">
        <v>34</v>
      </c>
      <c r="E446" s="16" t="str">
        <f t="shared" si="13"/>
        <v>Male</v>
      </c>
      <c r="F446" s="1">
        <v>30000</v>
      </c>
      <c r="G446">
        <v>0</v>
      </c>
      <c r="H446" t="s">
        <v>27</v>
      </c>
      <c r="I446" t="s">
        <v>25</v>
      </c>
      <c r="J446" t="s">
        <v>18</v>
      </c>
      <c r="K446">
        <v>1</v>
      </c>
      <c r="L446" t="s">
        <v>26</v>
      </c>
      <c r="M446" t="s">
        <v>17</v>
      </c>
      <c r="N446">
        <v>32</v>
      </c>
      <c r="O446" t="s">
        <v>18</v>
      </c>
    </row>
    <row r="447" spans="1:15" x14ac:dyDescent="0.2">
      <c r="A447">
        <v>25307</v>
      </c>
      <c r="B447" t="s">
        <v>34</v>
      </c>
      <c r="C447" s="16" t="str">
        <f t="shared" si="12"/>
        <v>Married</v>
      </c>
      <c r="D447" t="s">
        <v>33</v>
      </c>
      <c r="E447" s="16" t="str">
        <f t="shared" si="13"/>
        <v>Female</v>
      </c>
      <c r="F447" s="1">
        <v>40000</v>
      </c>
      <c r="G447">
        <v>1</v>
      </c>
      <c r="H447" t="s">
        <v>13</v>
      </c>
      <c r="I447" t="s">
        <v>14</v>
      </c>
      <c r="J447" t="s">
        <v>15</v>
      </c>
      <c r="K447">
        <v>1</v>
      </c>
      <c r="L447" t="s">
        <v>26</v>
      </c>
      <c r="M447" t="s">
        <v>17</v>
      </c>
      <c r="N447">
        <v>32</v>
      </c>
      <c r="O447" t="s">
        <v>15</v>
      </c>
    </row>
    <row r="448" spans="1:15" x14ac:dyDescent="0.2">
      <c r="A448">
        <v>14278</v>
      </c>
      <c r="B448" t="s">
        <v>34</v>
      </c>
      <c r="C448" s="16" t="str">
        <f t="shared" si="12"/>
        <v>Married</v>
      </c>
      <c r="D448" t="s">
        <v>33</v>
      </c>
      <c r="E448" s="16" t="str">
        <f t="shared" si="13"/>
        <v>Female</v>
      </c>
      <c r="F448" s="1">
        <v>130000</v>
      </c>
      <c r="G448">
        <v>0</v>
      </c>
      <c r="H448" t="s">
        <v>31</v>
      </c>
      <c r="I448" t="s">
        <v>28</v>
      </c>
      <c r="J448" t="s">
        <v>15</v>
      </c>
      <c r="K448">
        <v>1</v>
      </c>
      <c r="L448" t="s">
        <v>30</v>
      </c>
      <c r="M448" t="s">
        <v>24</v>
      </c>
      <c r="N448">
        <v>48</v>
      </c>
      <c r="O448" t="s">
        <v>18</v>
      </c>
    </row>
    <row r="449" spans="1:15" x14ac:dyDescent="0.2">
      <c r="A449">
        <v>20711</v>
      </c>
      <c r="B449" t="s">
        <v>34</v>
      </c>
      <c r="C449" s="16" t="str">
        <f t="shared" si="12"/>
        <v>Married</v>
      </c>
      <c r="D449" t="s">
        <v>33</v>
      </c>
      <c r="E449" s="16" t="str">
        <f t="shared" si="13"/>
        <v>Female</v>
      </c>
      <c r="F449" s="1">
        <v>40000</v>
      </c>
      <c r="G449">
        <v>1</v>
      </c>
      <c r="H449" t="s">
        <v>13</v>
      </c>
      <c r="I449" t="s">
        <v>14</v>
      </c>
      <c r="J449" t="s">
        <v>15</v>
      </c>
      <c r="K449">
        <v>0</v>
      </c>
      <c r="L449" t="s">
        <v>26</v>
      </c>
      <c r="M449" t="s">
        <v>17</v>
      </c>
      <c r="N449">
        <v>32</v>
      </c>
      <c r="O449" t="s">
        <v>15</v>
      </c>
    </row>
    <row r="450" spans="1:15" x14ac:dyDescent="0.2">
      <c r="A450">
        <v>11383</v>
      </c>
      <c r="B450" t="s">
        <v>34</v>
      </c>
      <c r="C450" s="16" t="str">
        <f t="shared" ref="C450:C513" si="14">IF(B450="M","Married","Single")</f>
        <v>Married</v>
      </c>
      <c r="D450" t="s">
        <v>33</v>
      </c>
      <c r="E450" s="16" t="str">
        <f t="shared" ref="E450:E513" si="15">IF(D450="F","Female","Male")</f>
        <v>Female</v>
      </c>
      <c r="F450" s="1">
        <v>30000</v>
      </c>
      <c r="G450">
        <v>3</v>
      </c>
      <c r="H450" t="s">
        <v>31</v>
      </c>
      <c r="I450" t="s">
        <v>20</v>
      </c>
      <c r="J450" t="s">
        <v>15</v>
      </c>
      <c r="K450">
        <v>0</v>
      </c>
      <c r="L450" t="s">
        <v>16</v>
      </c>
      <c r="M450" t="s">
        <v>17</v>
      </c>
      <c r="N450">
        <v>46</v>
      </c>
      <c r="O450" t="s">
        <v>18</v>
      </c>
    </row>
    <row r="451" spans="1:15" x14ac:dyDescent="0.2">
      <c r="A451">
        <v>12497</v>
      </c>
      <c r="B451" t="s">
        <v>34</v>
      </c>
      <c r="C451" s="16" t="str">
        <f t="shared" si="14"/>
        <v>Married</v>
      </c>
      <c r="D451" t="s">
        <v>33</v>
      </c>
      <c r="E451" s="16" t="str">
        <f t="shared" si="15"/>
        <v>Female</v>
      </c>
      <c r="F451" s="1">
        <v>40000</v>
      </c>
      <c r="G451">
        <v>1</v>
      </c>
      <c r="H451" t="s">
        <v>13</v>
      </c>
      <c r="I451" t="s">
        <v>14</v>
      </c>
      <c r="J451" t="s">
        <v>15</v>
      </c>
      <c r="K451">
        <v>0</v>
      </c>
      <c r="L451" t="s">
        <v>16</v>
      </c>
      <c r="M451" t="s">
        <v>17</v>
      </c>
      <c r="N451">
        <v>42</v>
      </c>
      <c r="O451" t="s">
        <v>18</v>
      </c>
    </row>
    <row r="452" spans="1:15" x14ac:dyDescent="0.2">
      <c r="A452">
        <v>16559</v>
      </c>
      <c r="B452" t="s">
        <v>35</v>
      </c>
      <c r="C452" s="16" t="str">
        <f t="shared" si="14"/>
        <v>Single</v>
      </c>
      <c r="D452" t="s">
        <v>33</v>
      </c>
      <c r="E452" s="16" t="str">
        <f t="shared" si="15"/>
        <v>Female</v>
      </c>
      <c r="F452" s="1">
        <v>10000</v>
      </c>
      <c r="G452">
        <v>2</v>
      </c>
      <c r="H452" t="s">
        <v>27</v>
      </c>
      <c r="I452" t="s">
        <v>25</v>
      </c>
      <c r="J452" t="s">
        <v>15</v>
      </c>
      <c r="K452">
        <v>0</v>
      </c>
      <c r="L452" t="s">
        <v>16</v>
      </c>
      <c r="M452" t="s">
        <v>17</v>
      </c>
      <c r="N452">
        <v>36</v>
      </c>
      <c r="O452" t="s">
        <v>15</v>
      </c>
    </row>
    <row r="453" spans="1:15" x14ac:dyDescent="0.2">
      <c r="A453">
        <v>11585</v>
      </c>
      <c r="B453" t="s">
        <v>34</v>
      </c>
      <c r="C453" s="16" t="str">
        <f t="shared" si="14"/>
        <v>Married</v>
      </c>
      <c r="D453" t="s">
        <v>33</v>
      </c>
      <c r="E453" s="16" t="str">
        <f t="shared" si="15"/>
        <v>Female</v>
      </c>
      <c r="F453" s="1">
        <v>40000</v>
      </c>
      <c r="G453">
        <v>1</v>
      </c>
      <c r="H453" t="s">
        <v>13</v>
      </c>
      <c r="I453" t="s">
        <v>14</v>
      </c>
      <c r="J453" t="s">
        <v>15</v>
      </c>
      <c r="K453">
        <v>0</v>
      </c>
      <c r="L453" t="s">
        <v>16</v>
      </c>
      <c r="M453" t="s">
        <v>17</v>
      </c>
      <c r="N453">
        <v>41</v>
      </c>
      <c r="O453" t="s">
        <v>18</v>
      </c>
    </row>
    <row r="454" spans="1:15" x14ac:dyDescent="0.2">
      <c r="A454">
        <v>20277</v>
      </c>
      <c r="B454" t="s">
        <v>34</v>
      </c>
      <c r="C454" s="16" t="str">
        <f t="shared" si="14"/>
        <v>Married</v>
      </c>
      <c r="D454" t="s">
        <v>33</v>
      </c>
      <c r="E454" s="16" t="str">
        <f t="shared" si="15"/>
        <v>Female</v>
      </c>
      <c r="F454" s="1">
        <v>30000</v>
      </c>
      <c r="G454">
        <v>2</v>
      </c>
      <c r="H454" t="s">
        <v>19</v>
      </c>
      <c r="I454" t="s">
        <v>20</v>
      </c>
      <c r="J454" t="s">
        <v>18</v>
      </c>
      <c r="K454">
        <v>2</v>
      </c>
      <c r="L454" t="s">
        <v>16</v>
      </c>
      <c r="M454" t="s">
        <v>24</v>
      </c>
      <c r="N454">
        <v>69</v>
      </c>
      <c r="O454" t="s">
        <v>18</v>
      </c>
    </row>
    <row r="455" spans="1:15" x14ac:dyDescent="0.2">
      <c r="A455">
        <v>26765</v>
      </c>
      <c r="B455" t="s">
        <v>35</v>
      </c>
      <c r="C455" s="16" t="str">
        <f t="shared" si="14"/>
        <v>Single</v>
      </c>
      <c r="D455" t="s">
        <v>33</v>
      </c>
      <c r="E455" s="16" t="str">
        <f t="shared" si="15"/>
        <v>Female</v>
      </c>
      <c r="F455" s="1">
        <v>70000</v>
      </c>
      <c r="G455">
        <v>5</v>
      </c>
      <c r="H455" t="s">
        <v>19</v>
      </c>
      <c r="I455" t="s">
        <v>14</v>
      </c>
      <c r="J455" t="s">
        <v>15</v>
      </c>
      <c r="K455">
        <v>2</v>
      </c>
      <c r="L455" t="s">
        <v>23</v>
      </c>
      <c r="M455" t="s">
        <v>24</v>
      </c>
      <c r="N455">
        <v>45</v>
      </c>
      <c r="O455" t="s">
        <v>18</v>
      </c>
    </row>
    <row r="456" spans="1:15" x14ac:dyDescent="0.2">
      <c r="A456">
        <v>12389</v>
      </c>
      <c r="B456" t="s">
        <v>35</v>
      </c>
      <c r="C456" s="16" t="str">
        <f t="shared" si="14"/>
        <v>Single</v>
      </c>
      <c r="D456" t="s">
        <v>34</v>
      </c>
      <c r="E456" s="16" t="str">
        <f t="shared" si="15"/>
        <v>Male</v>
      </c>
      <c r="F456" s="1">
        <v>30000</v>
      </c>
      <c r="G456">
        <v>0</v>
      </c>
      <c r="H456" t="s">
        <v>27</v>
      </c>
      <c r="I456" t="s">
        <v>25</v>
      </c>
      <c r="J456" t="s">
        <v>18</v>
      </c>
      <c r="K456">
        <v>1</v>
      </c>
      <c r="L456" t="s">
        <v>22</v>
      </c>
      <c r="M456" t="s">
        <v>17</v>
      </c>
      <c r="N456">
        <v>34</v>
      </c>
      <c r="O456" t="s">
        <v>18</v>
      </c>
    </row>
    <row r="457" spans="1:15" x14ac:dyDescent="0.2">
      <c r="A457">
        <v>13585</v>
      </c>
      <c r="B457" t="s">
        <v>34</v>
      </c>
      <c r="C457" s="16" t="str">
        <f t="shared" si="14"/>
        <v>Married</v>
      </c>
      <c r="D457" t="s">
        <v>33</v>
      </c>
      <c r="E457" s="16" t="str">
        <f t="shared" si="15"/>
        <v>Female</v>
      </c>
      <c r="F457" s="1">
        <v>80000</v>
      </c>
      <c r="G457">
        <v>4</v>
      </c>
      <c r="H457" t="s">
        <v>19</v>
      </c>
      <c r="I457" t="s">
        <v>21</v>
      </c>
      <c r="J457" t="s">
        <v>18</v>
      </c>
      <c r="K457">
        <v>1</v>
      </c>
      <c r="L457" t="s">
        <v>22</v>
      </c>
      <c r="M457" t="s">
        <v>17</v>
      </c>
      <c r="N457">
        <v>53</v>
      </c>
      <c r="O457" t="s">
        <v>15</v>
      </c>
    </row>
    <row r="458" spans="1:15" x14ac:dyDescent="0.2">
      <c r="A458">
        <v>26385</v>
      </c>
      <c r="B458" t="s">
        <v>35</v>
      </c>
      <c r="C458" s="16" t="str">
        <f t="shared" si="14"/>
        <v>Single</v>
      </c>
      <c r="D458" t="s">
        <v>34</v>
      </c>
      <c r="E458" s="16" t="str">
        <f t="shared" si="15"/>
        <v>Male</v>
      </c>
      <c r="F458" s="1">
        <v>120000</v>
      </c>
      <c r="G458">
        <v>3</v>
      </c>
      <c r="H458" t="s">
        <v>27</v>
      </c>
      <c r="I458" t="s">
        <v>21</v>
      </c>
      <c r="J458" t="s">
        <v>18</v>
      </c>
      <c r="K458">
        <v>4</v>
      </c>
      <c r="L458" t="s">
        <v>23</v>
      </c>
      <c r="M458" t="s">
        <v>17</v>
      </c>
      <c r="N458">
        <v>50</v>
      </c>
      <c r="O458" t="s">
        <v>18</v>
      </c>
    </row>
    <row r="459" spans="1:15" x14ac:dyDescent="0.2">
      <c r="A459">
        <v>12236</v>
      </c>
      <c r="B459" t="s">
        <v>34</v>
      </c>
      <c r="C459" s="16" t="str">
        <f t="shared" si="14"/>
        <v>Married</v>
      </c>
      <c r="D459" t="s">
        <v>33</v>
      </c>
      <c r="E459" s="16" t="str">
        <f t="shared" si="15"/>
        <v>Female</v>
      </c>
      <c r="F459" s="1">
        <v>20000</v>
      </c>
      <c r="G459">
        <v>1</v>
      </c>
      <c r="H459" t="s">
        <v>19</v>
      </c>
      <c r="I459" t="s">
        <v>25</v>
      </c>
      <c r="J459" t="s">
        <v>15</v>
      </c>
      <c r="K459">
        <v>0</v>
      </c>
      <c r="L459" t="s">
        <v>16</v>
      </c>
      <c r="M459" t="s">
        <v>17</v>
      </c>
      <c r="N459">
        <v>65</v>
      </c>
      <c r="O459" t="s">
        <v>18</v>
      </c>
    </row>
    <row r="460" spans="1:15" x14ac:dyDescent="0.2">
      <c r="A460">
        <v>21560</v>
      </c>
      <c r="B460" t="s">
        <v>34</v>
      </c>
      <c r="C460" s="16" t="str">
        <f t="shared" si="14"/>
        <v>Married</v>
      </c>
      <c r="D460" t="s">
        <v>34</v>
      </c>
      <c r="E460" s="16" t="str">
        <f t="shared" si="15"/>
        <v>Male</v>
      </c>
      <c r="F460" s="1">
        <v>120000</v>
      </c>
      <c r="G460">
        <v>0</v>
      </c>
      <c r="H460" t="s">
        <v>29</v>
      </c>
      <c r="I460" t="s">
        <v>21</v>
      </c>
      <c r="J460" t="s">
        <v>15</v>
      </c>
      <c r="K460">
        <v>4</v>
      </c>
      <c r="L460" t="s">
        <v>30</v>
      </c>
      <c r="M460" t="s">
        <v>24</v>
      </c>
      <c r="N460">
        <v>32</v>
      </c>
      <c r="O460" t="s">
        <v>15</v>
      </c>
    </row>
    <row r="461" spans="1:15" x14ac:dyDescent="0.2">
      <c r="A461">
        <v>21554</v>
      </c>
      <c r="B461" t="s">
        <v>35</v>
      </c>
      <c r="C461" s="16" t="str">
        <f t="shared" si="14"/>
        <v>Single</v>
      </c>
      <c r="D461" t="s">
        <v>33</v>
      </c>
      <c r="E461" s="16" t="str">
        <f t="shared" si="15"/>
        <v>Female</v>
      </c>
      <c r="F461" s="1">
        <v>80000</v>
      </c>
      <c r="G461">
        <v>0</v>
      </c>
      <c r="H461" t="s">
        <v>13</v>
      </c>
      <c r="I461" t="s">
        <v>21</v>
      </c>
      <c r="J461" t="s">
        <v>18</v>
      </c>
      <c r="K461">
        <v>3</v>
      </c>
      <c r="L461" t="s">
        <v>30</v>
      </c>
      <c r="M461" t="s">
        <v>24</v>
      </c>
      <c r="N461">
        <v>33</v>
      </c>
      <c r="O461" t="s">
        <v>18</v>
      </c>
    </row>
    <row r="462" spans="1:15" x14ac:dyDescent="0.2">
      <c r="A462">
        <v>13662</v>
      </c>
      <c r="B462" t="s">
        <v>35</v>
      </c>
      <c r="C462" s="16" t="str">
        <f t="shared" si="14"/>
        <v>Single</v>
      </c>
      <c r="D462" t="s">
        <v>34</v>
      </c>
      <c r="E462" s="16" t="str">
        <f t="shared" si="15"/>
        <v>Male</v>
      </c>
      <c r="F462" s="1">
        <v>20000</v>
      </c>
      <c r="G462">
        <v>0</v>
      </c>
      <c r="H462" t="s">
        <v>29</v>
      </c>
      <c r="I462" t="s">
        <v>25</v>
      </c>
      <c r="J462" t="s">
        <v>15</v>
      </c>
      <c r="K462">
        <v>2</v>
      </c>
      <c r="L462" t="s">
        <v>26</v>
      </c>
      <c r="M462" t="s">
        <v>17</v>
      </c>
      <c r="N462">
        <v>31</v>
      </c>
      <c r="O462" t="s">
        <v>15</v>
      </c>
    </row>
    <row r="463" spans="1:15" x14ac:dyDescent="0.2">
      <c r="A463">
        <v>13089</v>
      </c>
      <c r="B463" t="s">
        <v>34</v>
      </c>
      <c r="C463" s="16" t="str">
        <f t="shared" si="14"/>
        <v>Married</v>
      </c>
      <c r="D463" t="s">
        <v>33</v>
      </c>
      <c r="E463" s="16" t="str">
        <f t="shared" si="15"/>
        <v>Female</v>
      </c>
      <c r="F463" s="1">
        <v>120000</v>
      </c>
      <c r="G463">
        <v>1</v>
      </c>
      <c r="H463" t="s">
        <v>13</v>
      </c>
      <c r="I463" t="s">
        <v>28</v>
      </c>
      <c r="J463" t="s">
        <v>15</v>
      </c>
      <c r="K463">
        <v>2</v>
      </c>
      <c r="L463" t="s">
        <v>16</v>
      </c>
      <c r="M463" t="s">
        <v>24</v>
      </c>
      <c r="N463">
        <v>46</v>
      </c>
      <c r="O463" t="s">
        <v>15</v>
      </c>
    </row>
    <row r="464" spans="1:15" x14ac:dyDescent="0.2">
      <c r="A464">
        <v>14791</v>
      </c>
      <c r="B464" t="s">
        <v>34</v>
      </c>
      <c r="C464" s="16" t="str">
        <f t="shared" si="14"/>
        <v>Married</v>
      </c>
      <c r="D464" t="s">
        <v>33</v>
      </c>
      <c r="E464" s="16" t="str">
        <f t="shared" si="15"/>
        <v>Female</v>
      </c>
      <c r="F464" s="1">
        <v>40000</v>
      </c>
      <c r="G464">
        <v>0</v>
      </c>
      <c r="H464" t="s">
        <v>13</v>
      </c>
      <c r="I464" t="s">
        <v>20</v>
      </c>
      <c r="J464" t="s">
        <v>15</v>
      </c>
      <c r="K464">
        <v>0</v>
      </c>
      <c r="L464" t="s">
        <v>16</v>
      </c>
      <c r="M464" t="s">
        <v>17</v>
      </c>
      <c r="N464">
        <v>39</v>
      </c>
      <c r="O464" t="s">
        <v>15</v>
      </c>
    </row>
    <row r="465" spans="1:15" x14ac:dyDescent="0.2">
      <c r="A465">
        <v>19331</v>
      </c>
      <c r="B465" t="s">
        <v>35</v>
      </c>
      <c r="C465" s="16" t="str">
        <f t="shared" si="14"/>
        <v>Single</v>
      </c>
      <c r="D465" t="s">
        <v>34</v>
      </c>
      <c r="E465" s="16" t="str">
        <f t="shared" si="15"/>
        <v>Male</v>
      </c>
      <c r="F465" s="1">
        <v>20000</v>
      </c>
      <c r="G465">
        <v>2</v>
      </c>
      <c r="H465" t="s">
        <v>27</v>
      </c>
      <c r="I465" t="s">
        <v>25</v>
      </c>
      <c r="J465" t="s">
        <v>15</v>
      </c>
      <c r="K465">
        <v>1</v>
      </c>
      <c r="L465" t="s">
        <v>16</v>
      </c>
      <c r="M465" t="s">
        <v>17</v>
      </c>
      <c r="N465">
        <v>40</v>
      </c>
      <c r="O465" t="s">
        <v>18</v>
      </c>
    </row>
    <row r="466" spans="1:15" x14ac:dyDescent="0.2">
      <c r="A466">
        <v>17754</v>
      </c>
      <c r="B466" t="s">
        <v>35</v>
      </c>
      <c r="C466" s="16" t="str">
        <f t="shared" si="14"/>
        <v>Single</v>
      </c>
      <c r="D466" t="s">
        <v>33</v>
      </c>
      <c r="E466" s="16" t="str">
        <f t="shared" si="15"/>
        <v>Female</v>
      </c>
      <c r="F466" s="1">
        <v>30000</v>
      </c>
      <c r="G466">
        <v>3</v>
      </c>
      <c r="H466" t="s">
        <v>13</v>
      </c>
      <c r="I466" t="s">
        <v>20</v>
      </c>
      <c r="J466" t="s">
        <v>15</v>
      </c>
      <c r="K466">
        <v>0</v>
      </c>
      <c r="L466" t="s">
        <v>16</v>
      </c>
      <c r="M466" t="s">
        <v>17</v>
      </c>
      <c r="N466">
        <v>46</v>
      </c>
      <c r="O466" t="s">
        <v>15</v>
      </c>
    </row>
    <row r="467" spans="1:15" x14ac:dyDescent="0.2">
      <c r="A467">
        <v>11149</v>
      </c>
      <c r="B467" t="s">
        <v>34</v>
      </c>
      <c r="C467" s="16" t="str">
        <f t="shared" si="14"/>
        <v>Married</v>
      </c>
      <c r="D467" t="s">
        <v>34</v>
      </c>
      <c r="E467" s="16" t="str">
        <f t="shared" si="15"/>
        <v>Male</v>
      </c>
      <c r="F467" s="1">
        <v>40000</v>
      </c>
      <c r="G467">
        <v>2</v>
      </c>
      <c r="H467" t="s">
        <v>13</v>
      </c>
      <c r="I467" t="s">
        <v>28</v>
      </c>
      <c r="J467" t="s">
        <v>15</v>
      </c>
      <c r="K467">
        <v>2</v>
      </c>
      <c r="L467" t="s">
        <v>16</v>
      </c>
      <c r="M467" t="s">
        <v>24</v>
      </c>
      <c r="N467">
        <v>65</v>
      </c>
      <c r="O467" t="s">
        <v>18</v>
      </c>
    </row>
    <row r="468" spans="1:15" x14ac:dyDescent="0.2">
      <c r="A468">
        <v>16549</v>
      </c>
      <c r="B468" t="s">
        <v>35</v>
      </c>
      <c r="C468" s="16" t="str">
        <f t="shared" si="14"/>
        <v>Single</v>
      </c>
      <c r="D468" t="s">
        <v>33</v>
      </c>
      <c r="E468" s="16" t="str">
        <f t="shared" si="15"/>
        <v>Female</v>
      </c>
      <c r="F468" s="1">
        <v>30000</v>
      </c>
      <c r="G468">
        <v>3</v>
      </c>
      <c r="H468" t="s">
        <v>13</v>
      </c>
      <c r="I468" t="s">
        <v>20</v>
      </c>
      <c r="J468" t="s">
        <v>15</v>
      </c>
      <c r="K468">
        <v>0</v>
      </c>
      <c r="L468" t="s">
        <v>16</v>
      </c>
      <c r="M468" t="s">
        <v>17</v>
      </c>
      <c r="N468">
        <v>47</v>
      </c>
      <c r="O468" t="s">
        <v>15</v>
      </c>
    </row>
    <row r="469" spans="1:15" x14ac:dyDescent="0.2">
      <c r="A469">
        <v>24305</v>
      </c>
      <c r="B469" t="s">
        <v>35</v>
      </c>
      <c r="C469" s="16" t="str">
        <f t="shared" si="14"/>
        <v>Single</v>
      </c>
      <c r="D469" t="s">
        <v>34</v>
      </c>
      <c r="E469" s="16" t="str">
        <f t="shared" si="15"/>
        <v>Male</v>
      </c>
      <c r="F469" s="1">
        <v>100000</v>
      </c>
      <c r="G469">
        <v>1</v>
      </c>
      <c r="H469" t="s">
        <v>13</v>
      </c>
      <c r="I469" t="s">
        <v>28</v>
      </c>
      <c r="J469" t="s">
        <v>18</v>
      </c>
      <c r="K469">
        <v>3</v>
      </c>
      <c r="L469" t="s">
        <v>16</v>
      </c>
      <c r="M469" t="s">
        <v>24</v>
      </c>
      <c r="N469">
        <v>46</v>
      </c>
      <c r="O469" t="s">
        <v>15</v>
      </c>
    </row>
    <row r="470" spans="1:15" x14ac:dyDescent="0.2">
      <c r="A470">
        <v>18253</v>
      </c>
      <c r="B470" t="s">
        <v>34</v>
      </c>
      <c r="C470" s="16" t="str">
        <f t="shared" si="14"/>
        <v>Married</v>
      </c>
      <c r="D470" t="s">
        <v>33</v>
      </c>
      <c r="E470" s="16" t="str">
        <f t="shared" si="15"/>
        <v>Female</v>
      </c>
      <c r="F470" s="1">
        <v>80000</v>
      </c>
      <c r="G470">
        <v>5</v>
      </c>
      <c r="H470" t="s">
        <v>31</v>
      </c>
      <c r="I470" t="s">
        <v>28</v>
      </c>
      <c r="J470" t="s">
        <v>15</v>
      </c>
      <c r="K470">
        <v>3</v>
      </c>
      <c r="L470" t="s">
        <v>16</v>
      </c>
      <c r="M470" t="s">
        <v>24</v>
      </c>
      <c r="N470">
        <v>40</v>
      </c>
      <c r="O470" t="s">
        <v>18</v>
      </c>
    </row>
    <row r="471" spans="1:15" x14ac:dyDescent="0.2">
      <c r="A471">
        <v>20147</v>
      </c>
      <c r="B471" t="s">
        <v>34</v>
      </c>
      <c r="C471" s="16" t="str">
        <f t="shared" si="14"/>
        <v>Married</v>
      </c>
      <c r="D471" t="s">
        <v>33</v>
      </c>
      <c r="E471" s="16" t="str">
        <f t="shared" si="15"/>
        <v>Female</v>
      </c>
      <c r="F471" s="1">
        <v>30000</v>
      </c>
      <c r="G471">
        <v>1</v>
      </c>
      <c r="H471" t="s">
        <v>13</v>
      </c>
      <c r="I471" t="s">
        <v>20</v>
      </c>
      <c r="J471" t="s">
        <v>15</v>
      </c>
      <c r="K471">
        <v>0</v>
      </c>
      <c r="L471" t="s">
        <v>16</v>
      </c>
      <c r="M471" t="s">
        <v>17</v>
      </c>
      <c r="N471">
        <v>65</v>
      </c>
      <c r="O471" t="s">
        <v>18</v>
      </c>
    </row>
    <row r="472" spans="1:15" x14ac:dyDescent="0.2">
      <c r="A472">
        <v>15612</v>
      </c>
      <c r="B472" t="s">
        <v>35</v>
      </c>
      <c r="C472" s="16" t="str">
        <f t="shared" si="14"/>
        <v>Single</v>
      </c>
      <c r="D472" t="s">
        <v>34</v>
      </c>
      <c r="E472" s="16" t="str">
        <f t="shared" si="15"/>
        <v>Male</v>
      </c>
      <c r="F472" s="1">
        <v>30000</v>
      </c>
      <c r="G472">
        <v>0</v>
      </c>
      <c r="H472" t="s">
        <v>27</v>
      </c>
      <c r="I472" t="s">
        <v>25</v>
      </c>
      <c r="J472" t="s">
        <v>18</v>
      </c>
      <c r="K472">
        <v>1</v>
      </c>
      <c r="L472" t="s">
        <v>26</v>
      </c>
      <c r="M472" t="s">
        <v>17</v>
      </c>
      <c r="N472">
        <v>28</v>
      </c>
      <c r="O472" t="s">
        <v>18</v>
      </c>
    </row>
    <row r="473" spans="1:15" x14ac:dyDescent="0.2">
      <c r="A473">
        <v>28323</v>
      </c>
      <c r="B473" t="s">
        <v>35</v>
      </c>
      <c r="C473" s="16" t="str">
        <f t="shared" si="14"/>
        <v>Single</v>
      </c>
      <c r="D473" t="s">
        <v>34</v>
      </c>
      <c r="E473" s="16" t="str">
        <f t="shared" si="15"/>
        <v>Male</v>
      </c>
      <c r="F473" s="1">
        <v>70000</v>
      </c>
      <c r="G473">
        <v>0</v>
      </c>
      <c r="H473" t="s">
        <v>13</v>
      </c>
      <c r="I473" t="s">
        <v>21</v>
      </c>
      <c r="J473" t="s">
        <v>18</v>
      </c>
      <c r="K473">
        <v>2</v>
      </c>
      <c r="L473" t="s">
        <v>23</v>
      </c>
      <c r="M473" t="s">
        <v>24</v>
      </c>
      <c r="N473">
        <v>43</v>
      </c>
      <c r="O473" t="s">
        <v>15</v>
      </c>
    </row>
    <row r="474" spans="1:15" x14ac:dyDescent="0.2">
      <c r="A474">
        <v>22634</v>
      </c>
      <c r="B474" t="s">
        <v>35</v>
      </c>
      <c r="C474" s="16" t="str">
        <f t="shared" si="14"/>
        <v>Single</v>
      </c>
      <c r="D474" t="s">
        <v>33</v>
      </c>
      <c r="E474" s="16" t="str">
        <f t="shared" si="15"/>
        <v>Female</v>
      </c>
      <c r="F474" s="1">
        <v>40000</v>
      </c>
      <c r="G474">
        <v>0</v>
      </c>
      <c r="H474" t="s">
        <v>31</v>
      </c>
      <c r="I474" t="s">
        <v>20</v>
      </c>
      <c r="J474" t="s">
        <v>15</v>
      </c>
      <c r="K474">
        <v>0</v>
      </c>
      <c r="L474" t="s">
        <v>16</v>
      </c>
      <c r="M474" t="s">
        <v>17</v>
      </c>
      <c r="N474">
        <v>38</v>
      </c>
      <c r="O474" t="s">
        <v>15</v>
      </c>
    </row>
    <row r="475" spans="1:15" x14ac:dyDescent="0.2">
      <c r="A475">
        <v>15665</v>
      </c>
      <c r="B475" t="s">
        <v>34</v>
      </c>
      <c r="C475" s="16" t="str">
        <f t="shared" si="14"/>
        <v>Married</v>
      </c>
      <c r="D475" t="s">
        <v>33</v>
      </c>
      <c r="E475" s="16" t="str">
        <f t="shared" si="15"/>
        <v>Female</v>
      </c>
      <c r="F475" s="1">
        <v>30000</v>
      </c>
      <c r="G475">
        <v>0</v>
      </c>
      <c r="H475" t="s">
        <v>13</v>
      </c>
      <c r="I475" t="s">
        <v>20</v>
      </c>
      <c r="J475" t="s">
        <v>15</v>
      </c>
      <c r="K475">
        <v>0</v>
      </c>
      <c r="L475" t="s">
        <v>16</v>
      </c>
      <c r="M475" t="s">
        <v>17</v>
      </c>
      <c r="N475">
        <v>47</v>
      </c>
      <c r="O475" t="s">
        <v>15</v>
      </c>
    </row>
    <row r="476" spans="1:15" x14ac:dyDescent="0.2">
      <c r="A476">
        <v>27585</v>
      </c>
      <c r="B476" t="s">
        <v>34</v>
      </c>
      <c r="C476" s="16" t="str">
        <f t="shared" si="14"/>
        <v>Married</v>
      </c>
      <c r="D476" t="s">
        <v>33</v>
      </c>
      <c r="E476" s="16" t="str">
        <f t="shared" si="15"/>
        <v>Female</v>
      </c>
      <c r="F476" s="1">
        <v>90000</v>
      </c>
      <c r="G476">
        <v>2</v>
      </c>
      <c r="H476" t="s">
        <v>13</v>
      </c>
      <c r="I476" t="s">
        <v>21</v>
      </c>
      <c r="J476" t="s">
        <v>18</v>
      </c>
      <c r="K476">
        <v>0</v>
      </c>
      <c r="L476" t="s">
        <v>16</v>
      </c>
      <c r="M476" t="s">
        <v>24</v>
      </c>
      <c r="N476">
        <v>36</v>
      </c>
      <c r="O476" t="s">
        <v>15</v>
      </c>
    </row>
    <row r="477" spans="1:15" x14ac:dyDescent="0.2">
      <c r="A477">
        <v>19748</v>
      </c>
      <c r="B477" t="s">
        <v>34</v>
      </c>
      <c r="C477" s="16" t="str">
        <f t="shared" si="14"/>
        <v>Married</v>
      </c>
      <c r="D477" t="s">
        <v>34</v>
      </c>
      <c r="E477" s="16" t="str">
        <f t="shared" si="15"/>
        <v>Male</v>
      </c>
      <c r="F477" s="1">
        <v>20000</v>
      </c>
      <c r="G477">
        <v>4</v>
      </c>
      <c r="H477" t="s">
        <v>27</v>
      </c>
      <c r="I477" t="s">
        <v>14</v>
      </c>
      <c r="J477" t="s">
        <v>18</v>
      </c>
      <c r="K477">
        <v>2</v>
      </c>
      <c r="L477" t="s">
        <v>26</v>
      </c>
      <c r="M477" t="s">
        <v>24</v>
      </c>
      <c r="N477">
        <v>60</v>
      </c>
      <c r="O477" t="s">
        <v>18</v>
      </c>
    </row>
    <row r="478" spans="1:15" x14ac:dyDescent="0.2">
      <c r="A478">
        <v>21974</v>
      </c>
      <c r="B478" t="s">
        <v>35</v>
      </c>
      <c r="C478" s="16" t="str">
        <f t="shared" si="14"/>
        <v>Single</v>
      </c>
      <c r="D478" t="s">
        <v>33</v>
      </c>
      <c r="E478" s="16" t="str">
        <f t="shared" si="15"/>
        <v>Female</v>
      </c>
      <c r="F478" s="1">
        <v>70000</v>
      </c>
      <c r="G478">
        <v>0</v>
      </c>
      <c r="H478" t="s">
        <v>13</v>
      </c>
      <c r="I478" t="s">
        <v>21</v>
      </c>
      <c r="J478" t="s">
        <v>15</v>
      </c>
      <c r="K478">
        <v>1</v>
      </c>
      <c r="L478" t="s">
        <v>23</v>
      </c>
      <c r="M478" t="s">
        <v>24</v>
      </c>
      <c r="N478">
        <v>42</v>
      </c>
      <c r="O478" t="s">
        <v>15</v>
      </c>
    </row>
    <row r="479" spans="1:15" x14ac:dyDescent="0.2">
      <c r="A479">
        <v>14032</v>
      </c>
      <c r="B479" t="s">
        <v>34</v>
      </c>
      <c r="C479" s="16" t="str">
        <f t="shared" si="14"/>
        <v>Married</v>
      </c>
      <c r="D479" t="s">
        <v>34</v>
      </c>
      <c r="E479" s="16" t="str">
        <f t="shared" si="15"/>
        <v>Male</v>
      </c>
      <c r="F479" s="1">
        <v>70000</v>
      </c>
      <c r="G479">
        <v>2</v>
      </c>
      <c r="H479" t="s">
        <v>27</v>
      </c>
      <c r="I479" t="s">
        <v>14</v>
      </c>
      <c r="J479" t="s">
        <v>18</v>
      </c>
      <c r="K479">
        <v>2</v>
      </c>
      <c r="L479" t="s">
        <v>26</v>
      </c>
      <c r="M479" t="s">
        <v>24</v>
      </c>
      <c r="N479">
        <v>50</v>
      </c>
      <c r="O479" t="s">
        <v>15</v>
      </c>
    </row>
    <row r="480" spans="1:15" x14ac:dyDescent="0.2">
      <c r="A480">
        <v>22610</v>
      </c>
      <c r="B480" t="s">
        <v>34</v>
      </c>
      <c r="C480" s="16" t="str">
        <f t="shared" si="14"/>
        <v>Married</v>
      </c>
      <c r="D480" t="s">
        <v>34</v>
      </c>
      <c r="E480" s="16" t="str">
        <f t="shared" si="15"/>
        <v>Male</v>
      </c>
      <c r="F480" s="1">
        <v>30000</v>
      </c>
      <c r="G480">
        <v>0</v>
      </c>
      <c r="H480" t="s">
        <v>13</v>
      </c>
      <c r="I480" t="s">
        <v>20</v>
      </c>
      <c r="J480" t="s">
        <v>15</v>
      </c>
      <c r="K480">
        <v>0</v>
      </c>
      <c r="L480" t="s">
        <v>16</v>
      </c>
      <c r="M480" t="s">
        <v>17</v>
      </c>
      <c r="N480">
        <v>35</v>
      </c>
      <c r="O480" t="s">
        <v>15</v>
      </c>
    </row>
    <row r="481" spans="1:15" x14ac:dyDescent="0.2">
      <c r="A481">
        <v>26984</v>
      </c>
      <c r="B481" t="s">
        <v>34</v>
      </c>
      <c r="C481" s="16" t="str">
        <f t="shared" si="14"/>
        <v>Married</v>
      </c>
      <c r="D481" t="s">
        <v>34</v>
      </c>
      <c r="E481" s="16" t="str">
        <f t="shared" si="15"/>
        <v>Male</v>
      </c>
      <c r="F481" s="1">
        <v>40000</v>
      </c>
      <c r="G481">
        <v>1</v>
      </c>
      <c r="H481" t="s">
        <v>13</v>
      </c>
      <c r="I481" t="s">
        <v>14</v>
      </c>
      <c r="J481" t="s">
        <v>15</v>
      </c>
      <c r="K481">
        <v>1</v>
      </c>
      <c r="L481" t="s">
        <v>16</v>
      </c>
      <c r="M481" t="s">
        <v>17</v>
      </c>
      <c r="N481">
        <v>32</v>
      </c>
      <c r="O481" t="s">
        <v>15</v>
      </c>
    </row>
    <row r="482" spans="1:15" x14ac:dyDescent="0.2">
      <c r="A482">
        <v>18294</v>
      </c>
      <c r="B482" t="s">
        <v>34</v>
      </c>
      <c r="C482" s="16" t="str">
        <f t="shared" si="14"/>
        <v>Married</v>
      </c>
      <c r="D482" t="s">
        <v>33</v>
      </c>
      <c r="E482" s="16" t="str">
        <f t="shared" si="15"/>
        <v>Female</v>
      </c>
      <c r="F482" s="1">
        <v>90000</v>
      </c>
      <c r="G482">
        <v>1</v>
      </c>
      <c r="H482" t="s">
        <v>13</v>
      </c>
      <c r="I482" t="s">
        <v>21</v>
      </c>
      <c r="J482" t="s">
        <v>15</v>
      </c>
      <c r="K482">
        <v>1</v>
      </c>
      <c r="L482" t="s">
        <v>23</v>
      </c>
      <c r="M482" t="s">
        <v>24</v>
      </c>
      <c r="N482">
        <v>46</v>
      </c>
      <c r="O482" t="s">
        <v>18</v>
      </c>
    </row>
    <row r="483" spans="1:15" x14ac:dyDescent="0.2">
      <c r="A483">
        <v>28564</v>
      </c>
      <c r="B483" t="s">
        <v>35</v>
      </c>
      <c r="C483" s="16" t="str">
        <f t="shared" si="14"/>
        <v>Single</v>
      </c>
      <c r="D483" t="s">
        <v>33</v>
      </c>
      <c r="E483" s="16" t="str">
        <f t="shared" si="15"/>
        <v>Female</v>
      </c>
      <c r="F483" s="1">
        <v>40000</v>
      </c>
      <c r="G483">
        <v>2</v>
      </c>
      <c r="H483" t="s">
        <v>19</v>
      </c>
      <c r="I483" t="s">
        <v>20</v>
      </c>
      <c r="J483" t="s">
        <v>15</v>
      </c>
      <c r="K483">
        <v>0</v>
      </c>
      <c r="L483" t="s">
        <v>26</v>
      </c>
      <c r="M483" t="s">
        <v>17</v>
      </c>
      <c r="N483">
        <v>33</v>
      </c>
      <c r="O483" t="s">
        <v>15</v>
      </c>
    </row>
    <row r="484" spans="1:15" x14ac:dyDescent="0.2">
      <c r="A484">
        <v>28521</v>
      </c>
      <c r="B484" t="s">
        <v>35</v>
      </c>
      <c r="C484" s="16" t="str">
        <f t="shared" si="14"/>
        <v>Single</v>
      </c>
      <c r="D484" t="s">
        <v>34</v>
      </c>
      <c r="E484" s="16" t="str">
        <f t="shared" si="15"/>
        <v>Male</v>
      </c>
      <c r="F484" s="1">
        <v>40000</v>
      </c>
      <c r="G484">
        <v>0</v>
      </c>
      <c r="H484" t="s">
        <v>31</v>
      </c>
      <c r="I484" t="s">
        <v>20</v>
      </c>
      <c r="J484" t="s">
        <v>18</v>
      </c>
      <c r="K484">
        <v>0</v>
      </c>
      <c r="L484" t="s">
        <v>16</v>
      </c>
      <c r="M484" t="s">
        <v>17</v>
      </c>
      <c r="N484">
        <v>36</v>
      </c>
      <c r="O484" t="s">
        <v>15</v>
      </c>
    </row>
    <row r="485" spans="1:15" x14ac:dyDescent="0.2">
      <c r="A485">
        <v>15450</v>
      </c>
      <c r="B485" t="s">
        <v>34</v>
      </c>
      <c r="C485" s="16" t="str">
        <f t="shared" si="14"/>
        <v>Married</v>
      </c>
      <c r="D485" t="s">
        <v>34</v>
      </c>
      <c r="E485" s="16" t="str">
        <f t="shared" si="15"/>
        <v>Male</v>
      </c>
      <c r="F485" s="1">
        <v>10000</v>
      </c>
      <c r="G485">
        <v>1</v>
      </c>
      <c r="H485" t="s">
        <v>31</v>
      </c>
      <c r="I485" t="s">
        <v>20</v>
      </c>
      <c r="J485" t="s">
        <v>15</v>
      </c>
      <c r="K485">
        <v>0</v>
      </c>
      <c r="L485" t="s">
        <v>16</v>
      </c>
      <c r="M485" t="s">
        <v>17</v>
      </c>
      <c r="N485">
        <v>70</v>
      </c>
      <c r="O485" t="s">
        <v>18</v>
      </c>
    </row>
    <row r="486" spans="1:15" x14ac:dyDescent="0.2">
      <c r="A486">
        <v>25681</v>
      </c>
      <c r="B486" t="s">
        <v>35</v>
      </c>
      <c r="C486" s="16" t="str">
        <f t="shared" si="14"/>
        <v>Single</v>
      </c>
      <c r="D486" t="s">
        <v>33</v>
      </c>
      <c r="E486" s="16" t="str">
        <f t="shared" si="15"/>
        <v>Female</v>
      </c>
      <c r="F486" s="1">
        <v>30000</v>
      </c>
      <c r="G486">
        <v>0</v>
      </c>
      <c r="H486" t="s">
        <v>19</v>
      </c>
      <c r="I486" t="s">
        <v>20</v>
      </c>
      <c r="J486" t="s">
        <v>18</v>
      </c>
      <c r="K486">
        <v>1</v>
      </c>
      <c r="L486" t="s">
        <v>22</v>
      </c>
      <c r="M486" t="s">
        <v>17</v>
      </c>
      <c r="N486">
        <v>31</v>
      </c>
      <c r="O486" t="s">
        <v>15</v>
      </c>
    </row>
    <row r="487" spans="1:15" x14ac:dyDescent="0.2">
      <c r="A487">
        <v>19491</v>
      </c>
      <c r="B487" t="s">
        <v>35</v>
      </c>
      <c r="C487" s="16" t="str">
        <f t="shared" si="14"/>
        <v>Single</v>
      </c>
      <c r="D487" t="s">
        <v>34</v>
      </c>
      <c r="E487" s="16" t="str">
        <f t="shared" si="15"/>
        <v>Male</v>
      </c>
      <c r="F487" s="1">
        <v>30000</v>
      </c>
      <c r="G487">
        <v>2</v>
      </c>
      <c r="H487" t="s">
        <v>19</v>
      </c>
      <c r="I487" t="s">
        <v>20</v>
      </c>
      <c r="J487" t="s">
        <v>15</v>
      </c>
      <c r="K487">
        <v>2</v>
      </c>
      <c r="L487" t="s">
        <v>16</v>
      </c>
      <c r="M487" t="s">
        <v>17</v>
      </c>
      <c r="N487">
        <v>42</v>
      </c>
      <c r="O487" t="s">
        <v>18</v>
      </c>
    </row>
    <row r="488" spans="1:15" x14ac:dyDescent="0.2">
      <c r="A488">
        <v>26415</v>
      </c>
      <c r="B488" t="s">
        <v>34</v>
      </c>
      <c r="C488" s="16" t="str">
        <f t="shared" si="14"/>
        <v>Married</v>
      </c>
      <c r="D488" t="s">
        <v>33</v>
      </c>
      <c r="E488" s="16" t="str">
        <f t="shared" si="15"/>
        <v>Female</v>
      </c>
      <c r="F488" s="1">
        <v>90000</v>
      </c>
      <c r="G488">
        <v>4</v>
      </c>
      <c r="H488" t="s">
        <v>29</v>
      </c>
      <c r="I488" t="s">
        <v>14</v>
      </c>
      <c r="J488" t="s">
        <v>15</v>
      </c>
      <c r="K488">
        <v>4</v>
      </c>
      <c r="L488" t="s">
        <v>30</v>
      </c>
      <c r="M488" t="s">
        <v>17</v>
      </c>
      <c r="N488">
        <v>58</v>
      </c>
      <c r="O488" t="s">
        <v>18</v>
      </c>
    </row>
    <row r="489" spans="1:15" x14ac:dyDescent="0.2">
      <c r="A489">
        <v>12821</v>
      </c>
      <c r="B489" t="s">
        <v>34</v>
      </c>
      <c r="C489" s="16" t="str">
        <f t="shared" si="14"/>
        <v>Married</v>
      </c>
      <c r="D489" t="s">
        <v>34</v>
      </c>
      <c r="E489" s="16" t="str">
        <f t="shared" si="15"/>
        <v>Male</v>
      </c>
      <c r="F489" s="1">
        <v>40000</v>
      </c>
      <c r="G489">
        <v>0</v>
      </c>
      <c r="H489" t="s">
        <v>13</v>
      </c>
      <c r="I489" t="s">
        <v>20</v>
      </c>
      <c r="J489" t="s">
        <v>15</v>
      </c>
      <c r="K489">
        <v>0</v>
      </c>
      <c r="L489" t="s">
        <v>16</v>
      </c>
      <c r="M489" t="s">
        <v>17</v>
      </c>
      <c r="N489">
        <v>39</v>
      </c>
      <c r="O489" t="s">
        <v>18</v>
      </c>
    </row>
    <row r="490" spans="1:15" x14ac:dyDescent="0.2">
      <c r="A490">
        <v>15629</v>
      </c>
      <c r="B490" t="s">
        <v>35</v>
      </c>
      <c r="C490" s="16" t="str">
        <f t="shared" si="14"/>
        <v>Single</v>
      </c>
      <c r="D490" t="s">
        <v>33</v>
      </c>
      <c r="E490" s="16" t="str">
        <f t="shared" si="15"/>
        <v>Female</v>
      </c>
      <c r="F490" s="1">
        <v>10000</v>
      </c>
      <c r="G490">
        <v>0</v>
      </c>
      <c r="H490" t="s">
        <v>29</v>
      </c>
      <c r="I490" t="s">
        <v>25</v>
      </c>
      <c r="J490" t="s">
        <v>15</v>
      </c>
      <c r="K490">
        <v>2</v>
      </c>
      <c r="L490" t="s">
        <v>26</v>
      </c>
      <c r="M490" t="s">
        <v>17</v>
      </c>
      <c r="N490">
        <v>34</v>
      </c>
      <c r="O490" t="s">
        <v>18</v>
      </c>
    </row>
    <row r="491" spans="1:15" x14ac:dyDescent="0.2">
      <c r="A491">
        <v>27835</v>
      </c>
      <c r="B491" t="s">
        <v>34</v>
      </c>
      <c r="C491" s="16" t="str">
        <f t="shared" si="14"/>
        <v>Married</v>
      </c>
      <c r="D491" t="s">
        <v>34</v>
      </c>
      <c r="E491" s="16" t="str">
        <f t="shared" si="15"/>
        <v>Male</v>
      </c>
      <c r="F491" s="1">
        <v>20000</v>
      </c>
      <c r="G491">
        <v>0</v>
      </c>
      <c r="H491" t="s">
        <v>29</v>
      </c>
      <c r="I491" t="s">
        <v>25</v>
      </c>
      <c r="J491" t="s">
        <v>15</v>
      </c>
      <c r="K491">
        <v>2</v>
      </c>
      <c r="L491" t="s">
        <v>16</v>
      </c>
      <c r="M491" t="s">
        <v>17</v>
      </c>
      <c r="N491">
        <v>32</v>
      </c>
      <c r="O491" t="s">
        <v>18</v>
      </c>
    </row>
    <row r="492" spans="1:15" x14ac:dyDescent="0.2">
      <c r="A492">
        <v>11738</v>
      </c>
      <c r="B492" t="s">
        <v>34</v>
      </c>
      <c r="C492" s="16" t="str">
        <f t="shared" si="14"/>
        <v>Married</v>
      </c>
      <c r="D492" t="s">
        <v>34</v>
      </c>
      <c r="E492" s="16" t="str">
        <f t="shared" si="15"/>
        <v>Male</v>
      </c>
      <c r="F492" s="1">
        <v>60000</v>
      </c>
      <c r="G492">
        <v>4</v>
      </c>
      <c r="H492" t="s">
        <v>13</v>
      </c>
      <c r="I492" t="s">
        <v>21</v>
      </c>
      <c r="J492" t="s">
        <v>15</v>
      </c>
      <c r="K492">
        <v>0</v>
      </c>
      <c r="L492" t="s">
        <v>22</v>
      </c>
      <c r="M492" t="s">
        <v>32</v>
      </c>
      <c r="N492">
        <v>46</v>
      </c>
      <c r="O492" t="s">
        <v>18</v>
      </c>
    </row>
    <row r="493" spans="1:15" x14ac:dyDescent="0.2">
      <c r="A493">
        <v>25065</v>
      </c>
      <c r="B493" t="s">
        <v>34</v>
      </c>
      <c r="C493" s="16" t="str">
        <f t="shared" si="14"/>
        <v>Married</v>
      </c>
      <c r="D493" t="s">
        <v>34</v>
      </c>
      <c r="E493" s="16" t="str">
        <f t="shared" si="15"/>
        <v>Male</v>
      </c>
      <c r="F493" s="1">
        <v>70000</v>
      </c>
      <c r="G493">
        <v>2</v>
      </c>
      <c r="H493" t="s">
        <v>29</v>
      </c>
      <c r="I493" t="s">
        <v>14</v>
      </c>
      <c r="J493" t="s">
        <v>15</v>
      </c>
      <c r="K493">
        <v>2</v>
      </c>
      <c r="L493" t="s">
        <v>23</v>
      </c>
      <c r="M493" t="s">
        <v>32</v>
      </c>
      <c r="N493">
        <v>48</v>
      </c>
      <c r="O493" t="s">
        <v>18</v>
      </c>
    </row>
    <row r="494" spans="1:15" x14ac:dyDescent="0.2">
      <c r="A494">
        <v>26238</v>
      </c>
      <c r="B494" t="s">
        <v>35</v>
      </c>
      <c r="C494" s="16" t="str">
        <f t="shared" si="14"/>
        <v>Single</v>
      </c>
      <c r="D494" t="s">
        <v>33</v>
      </c>
      <c r="E494" s="16" t="str">
        <f t="shared" si="15"/>
        <v>Female</v>
      </c>
      <c r="F494" s="1">
        <v>40000</v>
      </c>
      <c r="G494">
        <v>3</v>
      </c>
      <c r="H494" t="s">
        <v>19</v>
      </c>
      <c r="I494" t="s">
        <v>20</v>
      </c>
      <c r="J494" t="s">
        <v>15</v>
      </c>
      <c r="K494">
        <v>1</v>
      </c>
      <c r="L494" t="s">
        <v>26</v>
      </c>
      <c r="M494" t="s">
        <v>32</v>
      </c>
      <c r="N494">
        <v>31</v>
      </c>
      <c r="O494" t="s">
        <v>15</v>
      </c>
    </row>
    <row r="495" spans="1:15" x14ac:dyDescent="0.2">
      <c r="A495">
        <v>23707</v>
      </c>
      <c r="B495" t="s">
        <v>35</v>
      </c>
      <c r="C495" s="16" t="str">
        <f t="shared" si="14"/>
        <v>Single</v>
      </c>
      <c r="D495" t="s">
        <v>34</v>
      </c>
      <c r="E495" s="16" t="str">
        <f t="shared" si="15"/>
        <v>Male</v>
      </c>
      <c r="F495" s="1">
        <v>70000</v>
      </c>
      <c r="G495">
        <v>5</v>
      </c>
      <c r="H495" t="s">
        <v>13</v>
      </c>
      <c r="I495" t="s">
        <v>28</v>
      </c>
      <c r="J495" t="s">
        <v>15</v>
      </c>
      <c r="K495">
        <v>3</v>
      </c>
      <c r="L495" t="s">
        <v>30</v>
      </c>
      <c r="M495" t="s">
        <v>32</v>
      </c>
      <c r="N495">
        <v>60</v>
      </c>
      <c r="O495" t="s">
        <v>15</v>
      </c>
    </row>
    <row r="496" spans="1:15" x14ac:dyDescent="0.2">
      <c r="A496">
        <v>27650</v>
      </c>
      <c r="B496" t="s">
        <v>34</v>
      </c>
      <c r="C496" s="16" t="str">
        <f t="shared" si="14"/>
        <v>Married</v>
      </c>
      <c r="D496" t="s">
        <v>34</v>
      </c>
      <c r="E496" s="16" t="str">
        <f t="shared" si="15"/>
        <v>Male</v>
      </c>
      <c r="F496" s="1">
        <v>70000</v>
      </c>
      <c r="G496">
        <v>4</v>
      </c>
      <c r="H496" t="s">
        <v>27</v>
      </c>
      <c r="I496" t="s">
        <v>21</v>
      </c>
      <c r="J496" t="s">
        <v>15</v>
      </c>
      <c r="K496">
        <v>0</v>
      </c>
      <c r="L496" t="s">
        <v>23</v>
      </c>
      <c r="M496" t="s">
        <v>32</v>
      </c>
      <c r="N496">
        <v>51</v>
      </c>
      <c r="O496" t="s">
        <v>18</v>
      </c>
    </row>
    <row r="497" spans="1:15" x14ac:dyDescent="0.2">
      <c r="A497">
        <v>24981</v>
      </c>
      <c r="B497" t="s">
        <v>34</v>
      </c>
      <c r="C497" s="16" t="str">
        <f t="shared" si="14"/>
        <v>Married</v>
      </c>
      <c r="D497" t="s">
        <v>34</v>
      </c>
      <c r="E497" s="16" t="str">
        <f t="shared" si="15"/>
        <v>Male</v>
      </c>
      <c r="F497" s="1">
        <v>60000</v>
      </c>
      <c r="G497">
        <v>2</v>
      </c>
      <c r="H497" t="s">
        <v>19</v>
      </c>
      <c r="I497" t="s">
        <v>21</v>
      </c>
      <c r="J497" t="s">
        <v>15</v>
      </c>
      <c r="K497">
        <v>2</v>
      </c>
      <c r="L497" t="s">
        <v>30</v>
      </c>
      <c r="M497" t="s">
        <v>32</v>
      </c>
      <c r="N497">
        <v>56</v>
      </c>
      <c r="O497" t="s">
        <v>18</v>
      </c>
    </row>
    <row r="498" spans="1:15" x14ac:dyDescent="0.2">
      <c r="A498">
        <v>20678</v>
      </c>
      <c r="B498" t="s">
        <v>35</v>
      </c>
      <c r="C498" s="16" t="str">
        <f t="shared" si="14"/>
        <v>Single</v>
      </c>
      <c r="D498" t="s">
        <v>33</v>
      </c>
      <c r="E498" s="16" t="str">
        <f t="shared" si="15"/>
        <v>Female</v>
      </c>
      <c r="F498" s="1">
        <v>60000</v>
      </c>
      <c r="G498">
        <v>3</v>
      </c>
      <c r="H498" t="s">
        <v>13</v>
      </c>
      <c r="I498" t="s">
        <v>14</v>
      </c>
      <c r="J498" t="s">
        <v>15</v>
      </c>
      <c r="K498">
        <v>1</v>
      </c>
      <c r="L498" t="s">
        <v>22</v>
      </c>
      <c r="M498" t="s">
        <v>32</v>
      </c>
      <c r="N498">
        <v>40</v>
      </c>
      <c r="O498" t="s">
        <v>15</v>
      </c>
    </row>
    <row r="499" spans="1:15" x14ac:dyDescent="0.2">
      <c r="A499">
        <v>15302</v>
      </c>
      <c r="B499" t="s">
        <v>35</v>
      </c>
      <c r="C499" s="16" t="str">
        <f t="shared" si="14"/>
        <v>Single</v>
      </c>
      <c r="D499" t="s">
        <v>33</v>
      </c>
      <c r="E499" s="16" t="str">
        <f t="shared" si="15"/>
        <v>Female</v>
      </c>
      <c r="F499" s="1">
        <v>70000</v>
      </c>
      <c r="G499">
        <v>1</v>
      </c>
      <c r="H499" t="s">
        <v>31</v>
      </c>
      <c r="I499" t="s">
        <v>21</v>
      </c>
      <c r="J499" t="s">
        <v>15</v>
      </c>
      <c r="K499">
        <v>0</v>
      </c>
      <c r="L499" t="s">
        <v>22</v>
      </c>
      <c r="M499" t="s">
        <v>32</v>
      </c>
      <c r="N499">
        <v>34</v>
      </c>
      <c r="O499" t="s">
        <v>15</v>
      </c>
    </row>
    <row r="500" spans="1:15" x14ac:dyDescent="0.2">
      <c r="A500">
        <v>26012</v>
      </c>
      <c r="B500" t="s">
        <v>34</v>
      </c>
      <c r="C500" s="16" t="str">
        <f t="shared" si="14"/>
        <v>Married</v>
      </c>
      <c r="D500" t="s">
        <v>34</v>
      </c>
      <c r="E500" s="16" t="str">
        <f t="shared" si="15"/>
        <v>Male</v>
      </c>
      <c r="F500" s="1">
        <v>80000</v>
      </c>
      <c r="G500">
        <v>1</v>
      </c>
      <c r="H500" t="s">
        <v>19</v>
      </c>
      <c r="I500" t="s">
        <v>14</v>
      </c>
      <c r="J500" t="s">
        <v>15</v>
      </c>
      <c r="K500">
        <v>1</v>
      </c>
      <c r="L500" t="s">
        <v>22</v>
      </c>
      <c r="M500" t="s">
        <v>32</v>
      </c>
      <c r="N500">
        <v>48</v>
      </c>
      <c r="O500" t="s">
        <v>15</v>
      </c>
    </row>
    <row r="501" spans="1:15" x14ac:dyDescent="0.2">
      <c r="A501">
        <v>26575</v>
      </c>
      <c r="B501" t="s">
        <v>35</v>
      </c>
      <c r="C501" s="16" t="str">
        <f t="shared" si="14"/>
        <v>Single</v>
      </c>
      <c r="D501" t="s">
        <v>33</v>
      </c>
      <c r="E501" s="16" t="str">
        <f t="shared" si="15"/>
        <v>Female</v>
      </c>
      <c r="F501" s="1">
        <v>40000</v>
      </c>
      <c r="G501">
        <v>0</v>
      </c>
      <c r="H501" t="s">
        <v>27</v>
      </c>
      <c r="I501" t="s">
        <v>14</v>
      </c>
      <c r="J501" t="s">
        <v>18</v>
      </c>
      <c r="K501">
        <v>2</v>
      </c>
      <c r="L501" t="s">
        <v>26</v>
      </c>
      <c r="M501" t="s">
        <v>32</v>
      </c>
      <c r="N501">
        <v>31</v>
      </c>
      <c r="O501" t="s">
        <v>15</v>
      </c>
    </row>
    <row r="502" spans="1:15" x14ac:dyDescent="0.2">
      <c r="A502">
        <v>15559</v>
      </c>
      <c r="B502" t="s">
        <v>34</v>
      </c>
      <c r="C502" s="16" t="str">
        <f t="shared" si="14"/>
        <v>Married</v>
      </c>
      <c r="D502" t="s">
        <v>34</v>
      </c>
      <c r="E502" s="16" t="str">
        <f t="shared" si="15"/>
        <v>Male</v>
      </c>
      <c r="F502" s="1">
        <v>60000</v>
      </c>
      <c r="G502">
        <v>5</v>
      </c>
      <c r="H502" t="s">
        <v>13</v>
      </c>
      <c r="I502" t="s">
        <v>21</v>
      </c>
      <c r="J502" t="s">
        <v>15</v>
      </c>
      <c r="K502">
        <v>1</v>
      </c>
      <c r="L502" t="s">
        <v>22</v>
      </c>
      <c r="M502" t="s">
        <v>32</v>
      </c>
      <c r="N502">
        <v>47</v>
      </c>
      <c r="O502" t="s">
        <v>18</v>
      </c>
    </row>
    <row r="503" spans="1:15" x14ac:dyDescent="0.2">
      <c r="A503">
        <v>19235</v>
      </c>
      <c r="B503" t="s">
        <v>34</v>
      </c>
      <c r="C503" s="16" t="str">
        <f t="shared" si="14"/>
        <v>Married</v>
      </c>
      <c r="D503" t="s">
        <v>33</v>
      </c>
      <c r="E503" s="16" t="str">
        <f t="shared" si="15"/>
        <v>Female</v>
      </c>
      <c r="F503" s="1">
        <v>50000</v>
      </c>
      <c r="G503">
        <v>0</v>
      </c>
      <c r="H503" t="s">
        <v>31</v>
      </c>
      <c r="I503" t="s">
        <v>14</v>
      </c>
      <c r="J503" t="s">
        <v>15</v>
      </c>
      <c r="K503">
        <v>0</v>
      </c>
      <c r="L503" t="s">
        <v>16</v>
      </c>
      <c r="M503" t="s">
        <v>32</v>
      </c>
      <c r="N503">
        <v>34</v>
      </c>
      <c r="O503" t="s">
        <v>18</v>
      </c>
    </row>
    <row r="504" spans="1:15" x14ac:dyDescent="0.2">
      <c r="A504">
        <v>15275</v>
      </c>
      <c r="B504" t="s">
        <v>34</v>
      </c>
      <c r="C504" s="16" t="str">
        <f t="shared" si="14"/>
        <v>Married</v>
      </c>
      <c r="D504" t="s">
        <v>34</v>
      </c>
      <c r="E504" s="16" t="str">
        <f t="shared" si="15"/>
        <v>Male</v>
      </c>
      <c r="F504" s="1">
        <v>40000</v>
      </c>
      <c r="G504">
        <v>0</v>
      </c>
      <c r="H504" t="s">
        <v>19</v>
      </c>
      <c r="I504" t="s">
        <v>14</v>
      </c>
      <c r="J504" t="s">
        <v>15</v>
      </c>
      <c r="K504">
        <v>1</v>
      </c>
      <c r="L504" t="s">
        <v>23</v>
      </c>
      <c r="M504" t="s">
        <v>32</v>
      </c>
      <c r="N504">
        <v>29</v>
      </c>
      <c r="O504" t="s">
        <v>18</v>
      </c>
    </row>
    <row r="505" spans="1:15" x14ac:dyDescent="0.2">
      <c r="A505">
        <v>20339</v>
      </c>
      <c r="B505" t="s">
        <v>34</v>
      </c>
      <c r="C505" s="16" t="str">
        <f t="shared" si="14"/>
        <v>Married</v>
      </c>
      <c r="D505" t="s">
        <v>33</v>
      </c>
      <c r="E505" s="16" t="str">
        <f t="shared" si="15"/>
        <v>Female</v>
      </c>
      <c r="F505" s="1">
        <v>130000</v>
      </c>
      <c r="G505">
        <v>1</v>
      </c>
      <c r="H505" t="s">
        <v>13</v>
      </c>
      <c r="I505" t="s">
        <v>28</v>
      </c>
      <c r="J505" t="s">
        <v>15</v>
      </c>
      <c r="K505">
        <v>4</v>
      </c>
      <c r="L505" t="s">
        <v>22</v>
      </c>
      <c r="M505" t="s">
        <v>32</v>
      </c>
      <c r="N505">
        <v>44</v>
      </c>
      <c r="O505" t="s">
        <v>15</v>
      </c>
    </row>
    <row r="506" spans="1:15" x14ac:dyDescent="0.2">
      <c r="A506">
        <v>25405</v>
      </c>
      <c r="B506" t="s">
        <v>34</v>
      </c>
      <c r="C506" s="16" t="str">
        <f t="shared" si="14"/>
        <v>Married</v>
      </c>
      <c r="D506" t="s">
        <v>34</v>
      </c>
      <c r="E506" s="16" t="str">
        <f t="shared" si="15"/>
        <v>Male</v>
      </c>
      <c r="F506" s="1">
        <v>70000</v>
      </c>
      <c r="G506">
        <v>2</v>
      </c>
      <c r="H506" t="s">
        <v>13</v>
      </c>
      <c r="I506" t="s">
        <v>14</v>
      </c>
      <c r="J506" t="s">
        <v>15</v>
      </c>
      <c r="K506">
        <v>1</v>
      </c>
      <c r="L506" t="s">
        <v>22</v>
      </c>
      <c r="M506" t="s">
        <v>32</v>
      </c>
      <c r="N506">
        <v>38</v>
      </c>
      <c r="O506" t="s">
        <v>15</v>
      </c>
    </row>
    <row r="507" spans="1:15" x14ac:dyDescent="0.2">
      <c r="A507">
        <v>15940</v>
      </c>
      <c r="B507" t="s">
        <v>34</v>
      </c>
      <c r="C507" s="16" t="str">
        <f t="shared" si="14"/>
        <v>Married</v>
      </c>
      <c r="D507" t="s">
        <v>34</v>
      </c>
      <c r="E507" s="16" t="str">
        <f t="shared" si="15"/>
        <v>Male</v>
      </c>
      <c r="F507" s="1">
        <v>100000</v>
      </c>
      <c r="G507">
        <v>4</v>
      </c>
      <c r="H507" t="s">
        <v>19</v>
      </c>
      <c r="I507" t="s">
        <v>21</v>
      </c>
      <c r="J507" t="s">
        <v>15</v>
      </c>
      <c r="K507">
        <v>4</v>
      </c>
      <c r="L507" t="s">
        <v>16</v>
      </c>
      <c r="M507" t="s">
        <v>32</v>
      </c>
      <c r="N507">
        <v>40</v>
      </c>
      <c r="O507" t="s">
        <v>18</v>
      </c>
    </row>
    <row r="508" spans="1:15" x14ac:dyDescent="0.2">
      <c r="A508">
        <v>25074</v>
      </c>
      <c r="B508" t="s">
        <v>34</v>
      </c>
      <c r="C508" s="16" t="str">
        <f t="shared" si="14"/>
        <v>Married</v>
      </c>
      <c r="D508" t="s">
        <v>33</v>
      </c>
      <c r="E508" s="16" t="str">
        <f t="shared" si="15"/>
        <v>Female</v>
      </c>
      <c r="F508" s="1">
        <v>70000</v>
      </c>
      <c r="G508">
        <v>4</v>
      </c>
      <c r="H508" t="s">
        <v>13</v>
      </c>
      <c r="I508" t="s">
        <v>21</v>
      </c>
      <c r="J508" t="s">
        <v>15</v>
      </c>
      <c r="K508">
        <v>2</v>
      </c>
      <c r="L508" t="s">
        <v>22</v>
      </c>
      <c r="M508" t="s">
        <v>32</v>
      </c>
      <c r="N508">
        <v>42</v>
      </c>
      <c r="O508" t="s">
        <v>15</v>
      </c>
    </row>
    <row r="509" spans="1:15" x14ac:dyDescent="0.2">
      <c r="A509">
        <v>24738</v>
      </c>
      <c r="B509" t="s">
        <v>34</v>
      </c>
      <c r="C509" s="16" t="str">
        <f t="shared" si="14"/>
        <v>Married</v>
      </c>
      <c r="D509" t="s">
        <v>33</v>
      </c>
      <c r="E509" s="16" t="str">
        <f t="shared" si="15"/>
        <v>Female</v>
      </c>
      <c r="F509" s="1">
        <v>40000</v>
      </c>
      <c r="G509">
        <v>1</v>
      </c>
      <c r="H509" t="s">
        <v>19</v>
      </c>
      <c r="I509" t="s">
        <v>20</v>
      </c>
      <c r="J509" t="s">
        <v>15</v>
      </c>
      <c r="K509">
        <v>1</v>
      </c>
      <c r="L509" t="s">
        <v>26</v>
      </c>
      <c r="M509" t="s">
        <v>32</v>
      </c>
      <c r="N509">
        <v>51</v>
      </c>
      <c r="O509" t="s">
        <v>15</v>
      </c>
    </row>
    <row r="510" spans="1:15" x14ac:dyDescent="0.2">
      <c r="A510">
        <v>16337</v>
      </c>
      <c r="B510" t="s">
        <v>34</v>
      </c>
      <c r="C510" s="16" t="str">
        <f t="shared" si="14"/>
        <v>Married</v>
      </c>
      <c r="D510" t="s">
        <v>34</v>
      </c>
      <c r="E510" s="16" t="str">
        <f t="shared" si="15"/>
        <v>Male</v>
      </c>
      <c r="F510" s="1">
        <v>60000</v>
      </c>
      <c r="G510">
        <v>0</v>
      </c>
      <c r="H510" t="s">
        <v>19</v>
      </c>
      <c r="I510" t="s">
        <v>14</v>
      </c>
      <c r="J510" t="s">
        <v>18</v>
      </c>
      <c r="K510">
        <v>2</v>
      </c>
      <c r="L510" t="s">
        <v>26</v>
      </c>
      <c r="M510" t="s">
        <v>32</v>
      </c>
      <c r="N510">
        <v>29</v>
      </c>
      <c r="O510" t="s">
        <v>18</v>
      </c>
    </row>
    <row r="511" spans="1:15" x14ac:dyDescent="0.2">
      <c r="A511">
        <v>24357</v>
      </c>
      <c r="B511" t="s">
        <v>34</v>
      </c>
      <c r="C511" s="16" t="str">
        <f t="shared" si="14"/>
        <v>Married</v>
      </c>
      <c r="D511" t="s">
        <v>34</v>
      </c>
      <c r="E511" s="16" t="str">
        <f t="shared" si="15"/>
        <v>Male</v>
      </c>
      <c r="F511" s="1">
        <v>80000</v>
      </c>
      <c r="G511">
        <v>3</v>
      </c>
      <c r="H511" t="s">
        <v>13</v>
      </c>
      <c r="I511" t="s">
        <v>21</v>
      </c>
      <c r="J511" t="s">
        <v>15</v>
      </c>
      <c r="K511">
        <v>1</v>
      </c>
      <c r="L511" t="s">
        <v>22</v>
      </c>
      <c r="M511" t="s">
        <v>32</v>
      </c>
      <c r="N511">
        <v>48</v>
      </c>
      <c r="O511" t="s">
        <v>15</v>
      </c>
    </row>
    <row r="512" spans="1:15" x14ac:dyDescent="0.2">
      <c r="A512">
        <v>18613</v>
      </c>
      <c r="B512" t="s">
        <v>35</v>
      </c>
      <c r="C512" s="16" t="str">
        <f t="shared" si="14"/>
        <v>Single</v>
      </c>
      <c r="D512" t="s">
        <v>34</v>
      </c>
      <c r="E512" s="16" t="str">
        <f t="shared" si="15"/>
        <v>Male</v>
      </c>
      <c r="F512" s="1">
        <v>70000</v>
      </c>
      <c r="G512">
        <v>0</v>
      </c>
      <c r="H512" t="s">
        <v>13</v>
      </c>
      <c r="I512" t="s">
        <v>21</v>
      </c>
      <c r="J512" t="s">
        <v>18</v>
      </c>
      <c r="K512">
        <v>1</v>
      </c>
      <c r="L512" t="s">
        <v>22</v>
      </c>
      <c r="M512" t="s">
        <v>32</v>
      </c>
      <c r="N512">
        <v>37</v>
      </c>
      <c r="O512" t="s">
        <v>15</v>
      </c>
    </row>
    <row r="513" spans="1:15" x14ac:dyDescent="0.2">
      <c r="A513">
        <v>12207</v>
      </c>
      <c r="B513" t="s">
        <v>35</v>
      </c>
      <c r="C513" s="16" t="str">
        <f t="shared" si="14"/>
        <v>Single</v>
      </c>
      <c r="D513" t="s">
        <v>34</v>
      </c>
      <c r="E513" s="16" t="str">
        <f t="shared" si="15"/>
        <v>Male</v>
      </c>
      <c r="F513" s="1">
        <v>80000</v>
      </c>
      <c r="G513">
        <v>4</v>
      </c>
      <c r="H513" t="s">
        <v>13</v>
      </c>
      <c r="I513" t="s">
        <v>28</v>
      </c>
      <c r="J513" t="s">
        <v>15</v>
      </c>
      <c r="K513">
        <v>0</v>
      </c>
      <c r="L513" t="s">
        <v>23</v>
      </c>
      <c r="M513" t="s">
        <v>32</v>
      </c>
      <c r="N513">
        <v>66</v>
      </c>
      <c r="O513" t="s">
        <v>15</v>
      </c>
    </row>
    <row r="514" spans="1:15" x14ac:dyDescent="0.2">
      <c r="A514">
        <v>18052</v>
      </c>
      <c r="B514" t="s">
        <v>34</v>
      </c>
      <c r="C514" s="16" t="str">
        <f t="shared" ref="C514:C577" si="16">IF(B514="M","Married","Single")</f>
        <v>Married</v>
      </c>
      <c r="D514" t="s">
        <v>33</v>
      </c>
      <c r="E514" s="16" t="str">
        <f t="shared" ref="E514:E577" si="17">IF(D514="F","Female","Male")</f>
        <v>Female</v>
      </c>
      <c r="F514" s="1">
        <v>60000</v>
      </c>
      <c r="G514">
        <v>1</v>
      </c>
      <c r="H514" t="s">
        <v>19</v>
      </c>
      <c r="I514" t="s">
        <v>14</v>
      </c>
      <c r="J514" t="s">
        <v>15</v>
      </c>
      <c r="K514">
        <v>1</v>
      </c>
      <c r="L514" t="s">
        <v>16</v>
      </c>
      <c r="M514" t="s">
        <v>32</v>
      </c>
      <c r="N514">
        <v>45</v>
      </c>
      <c r="O514" t="s">
        <v>15</v>
      </c>
    </row>
    <row r="515" spans="1:15" x14ac:dyDescent="0.2">
      <c r="A515">
        <v>13353</v>
      </c>
      <c r="B515" t="s">
        <v>35</v>
      </c>
      <c r="C515" s="16" t="str">
        <f t="shared" si="16"/>
        <v>Single</v>
      </c>
      <c r="D515" t="s">
        <v>33</v>
      </c>
      <c r="E515" s="16" t="str">
        <f t="shared" si="17"/>
        <v>Female</v>
      </c>
      <c r="F515" s="1">
        <v>60000</v>
      </c>
      <c r="G515">
        <v>4</v>
      </c>
      <c r="H515" t="s">
        <v>31</v>
      </c>
      <c r="I515" t="s">
        <v>28</v>
      </c>
      <c r="J515" t="s">
        <v>15</v>
      </c>
      <c r="K515">
        <v>2</v>
      </c>
      <c r="L515" t="s">
        <v>30</v>
      </c>
      <c r="M515" t="s">
        <v>32</v>
      </c>
      <c r="N515">
        <v>61</v>
      </c>
      <c r="O515" t="s">
        <v>15</v>
      </c>
    </row>
    <row r="516" spans="1:15" x14ac:dyDescent="0.2">
      <c r="A516">
        <v>19399</v>
      </c>
      <c r="B516" t="s">
        <v>35</v>
      </c>
      <c r="C516" s="16" t="str">
        <f t="shared" si="16"/>
        <v>Single</v>
      </c>
      <c r="D516" t="s">
        <v>34</v>
      </c>
      <c r="E516" s="16" t="str">
        <f t="shared" si="17"/>
        <v>Male</v>
      </c>
      <c r="F516" s="1">
        <v>40000</v>
      </c>
      <c r="G516">
        <v>0</v>
      </c>
      <c r="H516" t="s">
        <v>13</v>
      </c>
      <c r="I516" t="s">
        <v>21</v>
      </c>
      <c r="J516" t="s">
        <v>18</v>
      </c>
      <c r="K516">
        <v>1</v>
      </c>
      <c r="L516" t="s">
        <v>22</v>
      </c>
      <c r="M516" t="s">
        <v>32</v>
      </c>
      <c r="N516">
        <v>45</v>
      </c>
      <c r="O516" t="s">
        <v>18</v>
      </c>
    </row>
    <row r="517" spans="1:15" x14ac:dyDescent="0.2">
      <c r="A517">
        <v>16154</v>
      </c>
      <c r="B517" t="s">
        <v>34</v>
      </c>
      <c r="C517" s="16" t="str">
        <f t="shared" si="16"/>
        <v>Married</v>
      </c>
      <c r="D517" t="s">
        <v>33</v>
      </c>
      <c r="E517" s="16" t="str">
        <f t="shared" si="17"/>
        <v>Female</v>
      </c>
      <c r="F517" s="1">
        <v>70000</v>
      </c>
      <c r="G517">
        <v>5</v>
      </c>
      <c r="H517" t="s">
        <v>13</v>
      </c>
      <c r="I517" t="s">
        <v>21</v>
      </c>
      <c r="J517" t="s">
        <v>15</v>
      </c>
      <c r="K517">
        <v>2</v>
      </c>
      <c r="L517" t="s">
        <v>22</v>
      </c>
      <c r="M517" t="s">
        <v>32</v>
      </c>
      <c r="N517">
        <v>47</v>
      </c>
      <c r="O517" t="s">
        <v>18</v>
      </c>
    </row>
    <row r="518" spans="1:15" x14ac:dyDescent="0.2">
      <c r="A518">
        <v>22219</v>
      </c>
      <c r="B518" t="s">
        <v>34</v>
      </c>
      <c r="C518" s="16" t="str">
        <f t="shared" si="16"/>
        <v>Married</v>
      </c>
      <c r="D518" t="s">
        <v>33</v>
      </c>
      <c r="E518" s="16" t="str">
        <f t="shared" si="17"/>
        <v>Female</v>
      </c>
      <c r="F518" s="1">
        <v>60000</v>
      </c>
      <c r="G518">
        <v>2</v>
      </c>
      <c r="H518" t="s">
        <v>27</v>
      </c>
      <c r="I518" t="s">
        <v>21</v>
      </c>
      <c r="J518" t="s">
        <v>15</v>
      </c>
      <c r="K518">
        <v>2</v>
      </c>
      <c r="L518" t="s">
        <v>23</v>
      </c>
      <c r="M518" t="s">
        <v>32</v>
      </c>
      <c r="N518">
        <v>49</v>
      </c>
      <c r="O518" t="s">
        <v>18</v>
      </c>
    </row>
    <row r="519" spans="1:15" x14ac:dyDescent="0.2">
      <c r="A519">
        <v>17269</v>
      </c>
      <c r="B519" t="s">
        <v>35</v>
      </c>
      <c r="C519" s="16" t="str">
        <f t="shared" si="16"/>
        <v>Single</v>
      </c>
      <c r="D519" t="s">
        <v>34</v>
      </c>
      <c r="E519" s="16" t="str">
        <f t="shared" si="17"/>
        <v>Male</v>
      </c>
      <c r="F519" s="1">
        <v>60000</v>
      </c>
      <c r="G519">
        <v>3</v>
      </c>
      <c r="H519" t="s">
        <v>13</v>
      </c>
      <c r="I519" t="s">
        <v>21</v>
      </c>
      <c r="J519" t="s">
        <v>18</v>
      </c>
      <c r="K519">
        <v>0</v>
      </c>
      <c r="L519" t="s">
        <v>16</v>
      </c>
      <c r="M519" t="s">
        <v>32</v>
      </c>
      <c r="N519">
        <v>47</v>
      </c>
      <c r="O519" t="s">
        <v>15</v>
      </c>
    </row>
    <row r="520" spans="1:15" x14ac:dyDescent="0.2">
      <c r="A520">
        <v>23586</v>
      </c>
      <c r="B520" t="s">
        <v>34</v>
      </c>
      <c r="C520" s="16" t="str">
        <f t="shared" si="16"/>
        <v>Married</v>
      </c>
      <c r="D520" t="s">
        <v>33</v>
      </c>
      <c r="E520" s="16" t="str">
        <f t="shared" si="17"/>
        <v>Female</v>
      </c>
      <c r="F520" s="1">
        <v>80000</v>
      </c>
      <c r="G520">
        <v>0</v>
      </c>
      <c r="H520" t="s">
        <v>13</v>
      </c>
      <c r="I520" t="s">
        <v>28</v>
      </c>
      <c r="J520" t="s">
        <v>15</v>
      </c>
      <c r="K520">
        <v>1</v>
      </c>
      <c r="L520" t="s">
        <v>26</v>
      </c>
      <c r="M520" t="s">
        <v>32</v>
      </c>
      <c r="N520">
        <v>34</v>
      </c>
      <c r="O520" t="s">
        <v>15</v>
      </c>
    </row>
    <row r="521" spans="1:15" x14ac:dyDescent="0.2">
      <c r="A521">
        <v>15740</v>
      </c>
      <c r="B521" t="s">
        <v>34</v>
      </c>
      <c r="C521" s="16" t="str">
        <f t="shared" si="16"/>
        <v>Married</v>
      </c>
      <c r="D521" t="s">
        <v>34</v>
      </c>
      <c r="E521" s="16" t="str">
        <f t="shared" si="17"/>
        <v>Male</v>
      </c>
      <c r="F521" s="1">
        <v>80000</v>
      </c>
      <c r="G521">
        <v>5</v>
      </c>
      <c r="H521" t="s">
        <v>13</v>
      </c>
      <c r="I521" t="s">
        <v>28</v>
      </c>
      <c r="J521" t="s">
        <v>15</v>
      </c>
      <c r="K521">
        <v>2</v>
      </c>
      <c r="L521" t="s">
        <v>26</v>
      </c>
      <c r="M521" t="s">
        <v>32</v>
      </c>
      <c r="N521">
        <v>64</v>
      </c>
      <c r="O521" t="s">
        <v>18</v>
      </c>
    </row>
    <row r="522" spans="1:15" x14ac:dyDescent="0.2">
      <c r="A522">
        <v>27638</v>
      </c>
      <c r="B522" t="s">
        <v>35</v>
      </c>
      <c r="C522" s="16" t="str">
        <f t="shared" si="16"/>
        <v>Single</v>
      </c>
      <c r="D522" t="s">
        <v>34</v>
      </c>
      <c r="E522" s="16" t="str">
        <f t="shared" si="17"/>
        <v>Male</v>
      </c>
      <c r="F522" s="1">
        <v>100000</v>
      </c>
      <c r="G522">
        <v>1</v>
      </c>
      <c r="H522" t="s">
        <v>19</v>
      </c>
      <c r="I522" t="s">
        <v>21</v>
      </c>
      <c r="J522" t="s">
        <v>18</v>
      </c>
      <c r="K522">
        <v>3</v>
      </c>
      <c r="L522" t="s">
        <v>26</v>
      </c>
      <c r="M522" t="s">
        <v>32</v>
      </c>
      <c r="N522">
        <v>44</v>
      </c>
      <c r="O522" t="s">
        <v>18</v>
      </c>
    </row>
    <row r="523" spans="1:15" x14ac:dyDescent="0.2">
      <c r="A523">
        <v>18976</v>
      </c>
      <c r="B523" t="s">
        <v>35</v>
      </c>
      <c r="C523" s="16" t="str">
        <f t="shared" si="16"/>
        <v>Single</v>
      </c>
      <c r="D523" t="s">
        <v>34</v>
      </c>
      <c r="E523" s="16" t="str">
        <f t="shared" si="17"/>
        <v>Male</v>
      </c>
      <c r="F523" s="1">
        <v>40000</v>
      </c>
      <c r="G523">
        <v>4</v>
      </c>
      <c r="H523" t="s">
        <v>27</v>
      </c>
      <c r="I523" t="s">
        <v>21</v>
      </c>
      <c r="J523" t="s">
        <v>15</v>
      </c>
      <c r="K523">
        <v>2</v>
      </c>
      <c r="L523" t="s">
        <v>30</v>
      </c>
      <c r="M523" t="s">
        <v>32</v>
      </c>
      <c r="N523">
        <v>62</v>
      </c>
      <c r="O523" t="s">
        <v>15</v>
      </c>
    </row>
    <row r="524" spans="1:15" x14ac:dyDescent="0.2">
      <c r="A524">
        <v>19413</v>
      </c>
      <c r="B524" t="s">
        <v>35</v>
      </c>
      <c r="C524" s="16" t="str">
        <f t="shared" si="16"/>
        <v>Single</v>
      </c>
      <c r="D524" t="s">
        <v>34</v>
      </c>
      <c r="E524" s="16" t="str">
        <f t="shared" si="17"/>
        <v>Male</v>
      </c>
      <c r="F524" s="1">
        <v>60000</v>
      </c>
      <c r="G524">
        <v>3</v>
      </c>
      <c r="H524" t="s">
        <v>13</v>
      </c>
      <c r="I524" t="s">
        <v>21</v>
      </c>
      <c r="J524" t="s">
        <v>18</v>
      </c>
      <c r="K524">
        <v>1</v>
      </c>
      <c r="L524" t="s">
        <v>16</v>
      </c>
      <c r="M524" t="s">
        <v>32</v>
      </c>
      <c r="N524">
        <v>47</v>
      </c>
      <c r="O524" t="s">
        <v>15</v>
      </c>
    </row>
    <row r="525" spans="1:15" x14ac:dyDescent="0.2">
      <c r="A525">
        <v>13283</v>
      </c>
      <c r="B525" t="s">
        <v>34</v>
      </c>
      <c r="C525" s="16" t="str">
        <f t="shared" si="16"/>
        <v>Married</v>
      </c>
      <c r="D525" t="s">
        <v>34</v>
      </c>
      <c r="E525" s="16" t="str">
        <f t="shared" si="17"/>
        <v>Male</v>
      </c>
      <c r="F525" s="1">
        <v>80000</v>
      </c>
      <c r="G525">
        <v>3</v>
      </c>
      <c r="H525" t="s">
        <v>19</v>
      </c>
      <c r="I525" t="s">
        <v>21</v>
      </c>
      <c r="J525" t="s">
        <v>18</v>
      </c>
      <c r="K525">
        <v>2</v>
      </c>
      <c r="L525" t="s">
        <v>16</v>
      </c>
      <c r="M525" t="s">
        <v>32</v>
      </c>
      <c r="N525">
        <v>49</v>
      </c>
      <c r="O525" t="s">
        <v>15</v>
      </c>
    </row>
    <row r="526" spans="1:15" x14ac:dyDescent="0.2">
      <c r="A526">
        <v>17471</v>
      </c>
      <c r="B526" t="s">
        <v>35</v>
      </c>
      <c r="C526" s="16" t="str">
        <f t="shared" si="16"/>
        <v>Single</v>
      </c>
      <c r="D526" t="s">
        <v>33</v>
      </c>
      <c r="E526" s="16" t="str">
        <f t="shared" si="17"/>
        <v>Female</v>
      </c>
      <c r="F526" s="1">
        <v>80000</v>
      </c>
      <c r="G526">
        <v>4</v>
      </c>
      <c r="H526" t="s">
        <v>31</v>
      </c>
      <c r="I526" t="s">
        <v>28</v>
      </c>
      <c r="J526" t="s">
        <v>15</v>
      </c>
      <c r="K526">
        <v>2</v>
      </c>
      <c r="L526" t="s">
        <v>23</v>
      </c>
      <c r="M526" t="s">
        <v>32</v>
      </c>
      <c r="N526">
        <v>67</v>
      </c>
      <c r="O526" t="s">
        <v>18</v>
      </c>
    </row>
    <row r="527" spans="1:15" x14ac:dyDescent="0.2">
      <c r="A527">
        <v>16791</v>
      </c>
      <c r="B527" t="s">
        <v>35</v>
      </c>
      <c r="C527" s="16" t="str">
        <f t="shared" si="16"/>
        <v>Single</v>
      </c>
      <c r="D527" t="s">
        <v>34</v>
      </c>
      <c r="E527" s="16" t="str">
        <f t="shared" si="17"/>
        <v>Male</v>
      </c>
      <c r="F527" s="1">
        <v>60000</v>
      </c>
      <c r="G527">
        <v>5</v>
      </c>
      <c r="H527" t="s">
        <v>13</v>
      </c>
      <c r="I527" t="s">
        <v>28</v>
      </c>
      <c r="J527" t="s">
        <v>15</v>
      </c>
      <c r="K527">
        <v>3</v>
      </c>
      <c r="L527" t="s">
        <v>30</v>
      </c>
      <c r="M527" t="s">
        <v>32</v>
      </c>
      <c r="N527">
        <v>59</v>
      </c>
      <c r="O527" t="s">
        <v>15</v>
      </c>
    </row>
    <row r="528" spans="1:15" x14ac:dyDescent="0.2">
      <c r="A528">
        <v>15382</v>
      </c>
      <c r="B528" t="s">
        <v>34</v>
      </c>
      <c r="C528" s="16" t="str">
        <f t="shared" si="16"/>
        <v>Married</v>
      </c>
      <c r="D528" t="s">
        <v>33</v>
      </c>
      <c r="E528" s="16" t="str">
        <f t="shared" si="17"/>
        <v>Female</v>
      </c>
      <c r="F528" s="1">
        <v>110000</v>
      </c>
      <c r="G528">
        <v>1</v>
      </c>
      <c r="H528" t="s">
        <v>13</v>
      </c>
      <c r="I528" t="s">
        <v>28</v>
      </c>
      <c r="J528" t="s">
        <v>15</v>
      </c>
      <c r="K528">
        <v>2</v>
      </c>
      <c r="L528" t="s">
        <v>26</v>
      </c>
      <c r="M528" t="s">
        <v>32</v>
      </c>
      <c r="N528">
        <v>44</v>
      </c>
      <c r="O528" t="s">
        <v>18</v>
      </c>
    </row>
    <row r="529" spans="1:15" x14ac:dyDescent="0.2">
      <c r="A529">
        <v>11641</v>
      </c>
      <c r="B529" t="s">
        <v>34</v>
      </c>
      <c r="C529" s="16" t="str">
        <f t="shared" si="16"/>
        <v>Married</v>
      </c>
      <c r="D529" t="s">
        <v>34</v>
      </c>
      <c r="E529" s="16" t="str">
        <f t="shared" si="17"/>
        <v>Male</v>
      </c>
      <c r="F529" s="1">
        <v>50000</v>
      </c>
      <c r="G529">
        <v>1</v>
      </c>
      <c r="H529" t="s">
        <v>13</v>
      </c>
      <c r="I529" t="s">
        <v>14</v>
      </c>
      <c r="J529" t="s">
        <v>15</v>
      </c>
      <c r="K529">
        <v>0</v>
      </c>
      <c r="L529" t="s">
        <v>16</v>
      </c>
      <c r="M529" t="s">
        <v>32</v>
      </c>
      <c r="N529">
        <v>36</v>
      </c>
      <c r="O529" t="s">
        <v>18</v>
      </c>
    </row>
    <row r="530" spans="1:15" x14ac:dyDescent="0.2">
      <c r="A530">
        <v>11935</v>
      </c>
      <c r="B530" t="s">
        <v>35</v>
      </c>
      <c r="C530" s="16" t="str">
        <f t="shared" si="16"/>
        <v>Single</v>
      </c>
      <c r="D530" t="s">
        <v>33</v>
      </c>
      <c r="E530" s="16" t="str">
        <f t="shared" si="17"/>
        <v>Female</v>
      </c>
      <c r="F530" s="1">
        <v>30000</v>
      </c>
      <c r="G530">
        <v>0</v>
      </c>
      <c r="H530" t="s">
        <v>19</v>
      </c>
      <c r="I530" t="s">
        <v>14</v>
      </c>
      <c r="J530" t="s">
        <v>15</v>
      </c>
      <c r="K530">
        <v>1</v>
      </c>
      <c r="L530" t="s">
        <v>23</v>
      </c>
      <c r="M530" t="s">
        <v>32</v>
      </c>
      <c r="N530">
        <v>28</v>
      </c>
      <c r="O530" t="s">
        <v>18</v>
      </c>
    </row>
    <row r="531" spans="1:15" x14ac:dyDescent="0.2">
      <c r="A531">
        <v>13233</v>
      </c>
      <c r="B531" t="s">
        <v>34</v>
      </c>
      <c r="C531" s="16" t="str">
        <f t="shared" si="16"/>
        <v>Married</v>
      </c>
      <c r="D531" t="s">
        <v>34</v>
      </c>
      <c r="E531" s="16" t="str">
        <f t="shared" si="17"/>
        <v>Male</v>
      </c>
      <c r="F531" s="1">
        <v>60000</v>
      </c>
      <c r="G531">
        <v>2</v>
      </c>
      <c r="H531" t="s">
        <v>19</v>
      </c>
      <c r="I531" t="s">
        <v>21</v>
      </c>
      <c r="J531" t="s">
        <v>15</v>
      </c>
      <c r="K531">
        <v>1</v>
      </c>
      <c r="L531" t="s">
        <v>30</v>
      </c>
      <c r="M531" t="s">
        <v>32</v>
      </c>
      <c r="N531">
        <v>57</v>
      </c>
      <c r="O531" t="s">
        <v>15</v>
      </c>
    </row>
    <row r="532" spans="1:15" x14ac:dyDescent="0.2">
      <c r="A532">
        <v>25909</v>
      </c>
      <c r="B532" t="s">
        <v>34</v>
      </c>
      <c r="C532" s="16" t="str">
        <f t="shared" si="16"/>
        <v>Married</v>
      </c>
      <c r="D532" t="s">
        <v>34</v>
      </c>
      <c r="E532" s="16" t="str">
        <f t="shared" si="17"/>
        <v>Male</v>
      </c>
      <c r="F532" s="1">
        <v>60000</v>
      </c>
      <c r="G532">
        <v>0</v>
      </c>
      <c r="H532" t="s">
        <v>19</v>
      </c>
      <c r="I532" t="s">
        <v>14</v>
      </c>
      <c r="J532" t="s">
        <v>15</v>
      </c>
      <c r="K532">
        <v>1</v>
      </c>
      <c r="L532" t="s">
        <v>23</v>
      </c>
      <c r="M532" t="s">
        <v>32</v>
      </c>
      <c r="N532">
        <v>27</v>
      </c>
      <c r="O532" t="s">
        <v>15</v>
      </c>
    </row>
    <row r="533" spans="1:15" x14ac:dyDescent="0.2">
      <c r="A533">
        <v>14092</v>
      </c>
      <c r="B533" t="s">
        <v>35</v>
      </c>
      <c r="C533" s="16" t="str">
        <f t="shared" si="16"/>
        <v>Single</v>
      </c>
      <c r="D533" t="s">
        <v>34</v>
      </c>
      <c r="E533" s="16" t="str">
        <f t="shared" si="17"/>
        <v>Male</v>
      </c>
      <c r="F533" s="1">
        <v>30000</v>
      </c>
      <c r="G533">
        <v>0</v>
      </c>
      <c r="H533" t="s">
        <v>29</v>
      </c>
      <c r="I533" t="s">
        <v>20</v>
      </c>
      <c r="J533" t="s">
        <v>15</v>
      </c>
      <c r="K533">
        <v>2</v>
      </c>
      <c r="L533" t="s">
        <v>23</v>
      </c>
      <c r="M533" t="s">
        <v>32</v>
      </c>
      <c r="N533">
        <v>28</v>
      </c>
      <c r="O533" t="s">
        <v>18</v>
      </c>
    </row>
    <row r="534" spans="1:15" x14ac:dyDescent="0.2">
      <c r="A534">
        <v>29143</v>
      </c>
      <c r="B534" t="s">
        <v>35</v>
      </c>
      <c r="C534" s="16" t="str">
        <f t="shared" si="16"/>
        <v>Single</v>
      </c>
      <c r="D534" t="s">
        <v>33</v>
      </c>
      <c r="E534" s="16" t="str">
        <f t="shared" si="17"/>
        <v>Female</v>
      </c>
      <c r="F534" s="1">
        <v>60000</v>
      </c>
      <c r="G534">
        <v>1</v>
      </c>
      <c r="H534" t="s">
        <v>13</v>
      </c>
      <c r="I534" t="s">
        <v>21</v>
      </c>
      <c r="J534" t="s">
        <v>18</v>
      </c>
      <c r="K534">
        <v>1</v>
      </c>
      <c r="L534" t="s">
        <v>16</v>
      </c>
      <c r="M534" t="s">
        <v>32</v>
      </c>
      <c r="N534">
        <v>44</v>
      </c>
      <c r="O534" t="s">
        <v>15</v>
      </c>
    </row>
    <row r="535" spans="1:15" x14ac:dyDescent="0.2">
      <c r="A535">
        <v>24941</v>
      </c>
      <c r="B535" t="s">
        <v>34</v>
      </c>
      <c r="C535" s="16" t="str">
        <f t="shared" si="16"/>
        <v>Married</v>
      </c>
      <c r="D535" t="s">
        <v>34</v>
      </c>
      <c r="E535" s="16" t="str">
        <f t="shared" si="17"/>
        <v>Male</v>
      </c>
      <c r="F535" s="1">
        <v>60000</v>
      </c>
      <c r="G535">
        <v>3</v>
      </c>
      <c r="H535" t="s">
        <v>13</v>
      </c>
      <c r="I535" t="s">
        <v>28</v>
      </c>
      <c r="J535" t="s">
        <v>15</v>
      </c>
      <c r="K535">
        <v>2</v>
      </c>
      <c r="L535" t="s">
        <v>30</v>
      </c>
      <c r="M535" t="s">
        <v>32</v>
      </c>
      <c r="N535">
        <v>66</v>
      </c>
      <c r="O535" t="s">
        <v>18</v>
      </c>
    </row>
    <row r="536" spans="1:15" x14ac:dyDescent="0.2">
      <c r="A536">
        <v>24637</v>
      </c>
      <c r="B536" t="s">
        <v>34</v>
      </c>
      <c r="C536" s="16" t="str">
        <f t="shared" si="16"/>
        <v>Married</v>
      </c>
      <c r="D536" t="s">
        <v>34</v>
      </c>
      <c r="E536" s="16" t="str">
        <f t="shared" si="17"/>
        <v>Male</v>
      </c>
      <c r="F536" s="1">
        <v>40000</v>
      </c>
      <c r="G536">
        <v>4</v>
      </c>
      <c r="H536" t="s">
        <v>27</v>
      </c>
      <c r="I536" t="s">
        <v>21</v>
      </c>
      <c r="J536" t="s">
        <v>15</v>
      </c>
      <c r="K536">
        <v>2</v>
      </c>
      <c r="L536" t="s">
        <v>30</v>
      </c>
      <c r="M536" t="s">
        <v>32</v>
      </c>
      <c r="N536">
        <v>64</v>
      </c>
      <c r="O536" t="s">
        <v>18</v>
      </c>
    </row>
    <row r="537" spans="1:15" x14ac:dyDescent="0.2">
      <c r="A537">
        <v>23893</v>
      </c>
      <c r="B537" t="s">
        <v>34</v>
      </c>
      <c r="C537" s="16" t="str">
        <f t="shared" si="16"/>
        <v>Married</v>
      </c>
      <c r="D537" t="s">
        <v>34</v>
      </c>
      <c r="E537" s="16" t="str">
        <f t="shared" si="17"/>
        <v>Male</v>
      </c>
      <c r="F537" s="1">
        <v>50000</v>
      </c>
      <c r="G537">
        <v>3</v>
      </c>
      <c r="H537" t="s">
        <v>13</v>
      </c>
      <c r="I537" t="s">
        <v>14</v>
      </c>
      <c r="J537" t="s">
        <v>15</v>
      </c>
      <c r="K537">
        <v>3</v>
      </c>
      <c r="L537" t="s">
        <v>30</v>
      </c>
      <c r="M537" t="s">
        <v>32</v>
      </c>
      <c r="N537">
        <v>41</v>
      </c>
      <c r="O537" t="s">
        <v>18</v>
      </c>
    </row>
    <row r="538" spans="1:15" x14ac:dyDescent="0.2">
      <c r="A538">
        <v>13907</v>
      </c>
      <c r="B538" t="s">
        <v>35</v>
      </c>
      <c r="C538" s="16" t="str">
        <f t="shared" si="16"/>
        <v>Single</v>
      </c>
      <c r="D538" t="s">
        <v>33</v>
      </c>
      <c r="E538" s="16" t="str">
        <f t="shared" si="17"/>
        <v>Female</v>
      </c>
      <c r="F538" s="1">
        <v>80000</v>
      </c>
      <c r="G538">
        <v>3</v>
      </c>
      <c r="H538" t="s">
        <v>13</v>
      </c>
      <c r="I538" t="s">
        <v>14</v>
      </c>
      <c r="J538" t="s">
        <v>15</v>
      </c>
      <c r="K538">
        <v>1</v>
      </c>
      <c r="L538" t="s">
        <v>16</v>
      </c>
      <c r="M538" t="s">
        <v>32</v>
      </c>
      <c r="N538">
        <v>41</v>
      </c>
      <c r="O538" t="s">
        <v>15</v>
      </c>
    </row>
    <row r="539" spans="1:15" x14ac:dyDescent="0.2">
      <c r="A539">
        <v>14900</v>
      </c>
      <c r="B539" t="s">
        <v>34</v>
      </c>
      <c r="C539" s="16" t="str">
        <f t="shared" si="16"/>
        <v>Married</v>
      </c>
      <c r="D539" t="s">
        <v>33</v>
      </c>
      <c r="E539" s="16" t="str">
        <f t="shared" si="17"/>
        <v>Female</v>
      </c>
      <c r="F539" s="1">
        <v>40000</v>
      </c>
      <c r="G539">
        <v>1</v>
      </c>
      <c r="H539" t="s">
        <v>19</v>
      </c>
      <c r="I539" t="s">
        <v>20</v>
      </c>
      <c r="J539" t="s">
        <v>15</v>
      </c>
      <c r="K539">
        <v>1</v>
      </c>
      <c r="L539" t="s">
        <v>26</v>
      </c>
      <c r="M539" t="s">
        <v>32</v>
      </c>
      <c r="N539">
        <v>49</v>
      </c>
      <c r="O539" t="s">
        <v>15</v>
      </c>
    </row>
    <row r="540" spans="1:15" x14ac:dyDescent="0.2">
      <c r="A540">
        <v>11262</v>
      </c>
      <c r="B540" t="s">
        <v>34</v>
      </c>
      <c r="C540" s="16" t="str">
        <f t="shared" si="16"/>
        <v>Married</v>
      </c>
      <c r="D540" t="s">
        <v>33</v>
      </c>
      <c r="E540" s="16" t="str">
        <f t="shared" si="17"/>
        <v>Female</v>
      </c>
      <c r="F540" s="1">
        <v>80000</v>
      </c>
      <c r="G540">
        <v>4</v>
      </c>
      <c r="H540" t="s">
        <v>13</v>
      </c>
      <c r="I540" t="s">
        <v>28</v>
      </c>
      <c r="J540" t="s">
        <v>15</v>
      </c>
      <c r="K540">
        <v>0</v>
      </c>
      <c r="L540" t="s">
        <v>16</v>
      </c>
      <c r="M540" t="s">
        <v>32</v>
      </c>
      <c r="N540">
        <v>42</v>
      </c>
      <c r="O540" t="s">
        <v>18</v>
      </c>
    </row>
    <row r="541" spans="1:15" x14ac:dyDescent="0.2">
      <c r="A541">
        <v>22294</v>
      </c>
      <c r="B541" t="s">
        <v>35</v>
      </c>
      <c r="C541" s="16" t="str">
        <f t="shared" si="16"/>
        <v>Single</v>
      </c>
      <c r="D541" t="s">
        <v>33</v>
      </c>
      <c r="E541" s="16" t="str">
        <f t="shared" si="17"/>
        <v>Female</v>
      </c>
      <c r="F541" s="1">
        <v>70000</v>
      </c>
      <c r="G541">
        <v>0</v>
      </c>
      <c r="H541" t="s">
        <v>13</v>
      </c>
      <c r="I541" t="s">
        <v>21</v>
      </c>
      <c r="J541" t="s">
        <v>18</v>
      </c>
      <c r="K541">
        <v>1</v>
      </c>
      <c r="L541" t="s">
        <v>22</v>
      </c>
      <c r="M541" t="s">
        <v>32</v>
      </c>
      <c r="N541">
        <v>37</v>
      </c>
      <c r="O541" t="s">
        <v>15</v>
      </c>
    </row>
    <row r="542" spans="1:15" x14ac:dyDescent="0.2">
      <c r="A542">
        <v>12195</v>
      </c>
      <c r="B542" t="s">
        <v>35</v>
      </c>
      <c r="C542" s="16" t="str">
        <f t="shared" si="16"/>
        <v>Single</v>
      </c>
      <c r="D542" t="s">
        <v>33</v>
      </c>
      <c r="E542" s="16" t="str">
        <f t="shared" si="17"/>
        <v>Female</v>
      </c>
      <c r="F542" s="1">
        <v>70000</v>
      </c>
      <c r="G542">
        <v>3</v>
      </c>
      <c r="H542" t="s">
        <v>31</v>
      </c>
      <c r="I542" t="s">
        <v>28</v>
      </c>
      <c r="J542" t="s">
        <v>15</v>
      </c>
      <c r="K542">
        <v>2</v>
      </c>
      <c r="L542" t="s">
        <v>26</v>
      </c>
      <c r="M542" t="s">
        <v>32</v>
      </c>
      <c r="N542">
        <v>52</v>
      </c>
      <c r="O542" t="s">
        <v>18</v>
      </c>
    </row>
    <row r="543" spans="1:15" x14ac:dyDescent="0.2">
      <c r="A543">
        <v>25375</v>
      </c>
      <c r="B543" t="s">
        <v>34</v>
      </c>
      <c r="C543" s="16" t="str">
        <f t="shared" si="16"/>
        <v>Married</v>
      </c>
      <c r="D543" t="s">
        <v>34</v>
      </c>
      <c r="E543" s="16" t="str">
        <f t="shared" si="17"/>
        <v>Male</v>
      </c>
      <c r="F543" s="1">
        <v>50000</v>
      </c>
      <c r="G543">
        <v>1</v>
      </c>
      <c r="H543" t="s">
        <v>31</v>
      </c>
      <c r="I543" t="s">
        <v>14</v>
      </c>
      <c r="J543" t="s">
        <v>15</v>
      </c>
      <c r="K543">
        <v>0</v>
      </c>
      <c r="L543" t="s">
        <v>26</v>
      </c>
      <c r="M543" t="s">
        <v>32</v>
      </c>
      <c r="N543">
        <v>34</v>
      </c>
      <c r="O543" t="s">
        <v>18</v>
      </c>
    </row>
    <row r="544" spans="1:15" x14ac:dyDescent="0.2">
      <c r="A544">
        <v>11143</v>
      </c>
      <c r="B544" t="s">
        <v>34</v>
      </c>
      <c r="C544" s="16" t="str">
        <f t="shared" si="16"/>
        <v>Married</v>
      </c>
      <c r="D544" t="s">
        <v>34</v>
      </c>
      <c r="E544" s="16" t="str">
        <f t="shared" si="17"/>
        <v>Male</v>
      </c>
      <c r="F544" s="1">
        <v>40000</v>
      </c>
      <c r="G544">
        <v>0</v>
      </c>
      <c r="H544" t="s">
        <v>27</v>
      </c>
      <c r="I544" t="s">
        <v>14</v>
      </c>
      <c r="J544" t="s">
        <v>15</v>
      </c>
      <c r="K544">
        <v>2</v>
      </c>
      <c r="L544" t="s">
        <v>23</v>
      </c>
      <c r="M544" t="s">
        <v>32</v>
      </c>
      <c r="N544">
        <v>29</v>
      </c>
      <c r="O544" t="s">
        <v>18</v>
      </c>
    </row>
    <row r="545" spans="1:15" x14ac:dyDescent="0.2">
      <c r="A545">
        <v>25898</v>
      </c>
      <c r="B545" t="s">
        <v>34</v>
      </c>
      <c r="C545" s="16" t="str">
        <f t="shared" si="16"/>
        <v>Married</v>
      </c>
      <c r="D545" t="s">
        <v>33</v>
      </c>
      <c r="E545" s="16" t="str">
        <f t="shared" si="17"/>
        <v>Female</v>
      </c>
      <c r="F545" s="1">
        <v>70000</v>
      </c>
      <c r="G545">
        <v>2</v>
      </c>
      <c r="H545" t="s">
        <v>27</v>
      </c>
      <c r="I545" t="s">
        <v>21</v>
      </c>
      <c r="J545" t="s">
        <v>15</v>
      </c>
      <c r="K545">
        <v>2</v>
      </c>
      <c r="L545" t="s">
        <v>22</v>
      </c>
      <c r="M545" t="s">
        <v>32</v>
      </c>
      <c r="N545">
        <v>53</v>
      </c>
      <c r="O545" t="s">
        <v>18</v>
      </c>
    </row>
    <row r="546" spans="1:15" x14ac:dyDescent="0.2">
      <c r="A546">
        <v>24397</v>
      </c>
      <c r="B546" t="s">
        <v>35</v>
      </c>
      <c r="C546" s="16" t="str">
        <f t="shared" si="16"/>
        <v>Single</v>
      </c>
      <c r="D546" t="s">
        <v>34</v>
      </c>
      <c r="E546" s="16" t="str">
        <f t="shared" si="17"/>
        <v>Male</v>
      </c>
      <c r="F546" s="1">
        <v>120000</v>
      </c>
      <c r="G546">
        <v>2</v>
      </c>
      <c r="H546" t="s">
        <v>13</v>
      </c>
      <c r="I546" t="s">
        <v>28</v>
      </c>
      <c r="J546" t="s">
        <v>18</v>
      </c>
      <c r="K546">
        <v>4</v>
      </c>
      <c r="L546" t="s">
        <v>26</v>
      </c>
      <c r="M546" t="s">
        <v>32</v>
      </c>
      <c r="N546">
        <v>40</v>
      </c>
      <c r="O546" t="s">
        <v>18</v>
      </c>
    </row>
    <row r="547" spans="1:15" x14ac:dyDescent="0.2">
      <c r="A547">
        <v>19758</v>
      </c>
      <c r="B547" t="s">
        <v>35</v>
      </c>
      <c r="C547" s="16" t="str">
        <f t="shared" si="16"/>
        <v>Single</v>
      </c>
      <c r="D547" t="s">
        <v>34</v>
      </c>
      <c r="E547" s="16" t="str">
        <f t="shared" si="17"/>
        <v>Male</v>
      </c>
      <c r="F547" s="1">
        <v>60000</v>
      </c>
      <c r="G547">
        <v>0</v>
      </c>
      <c r="H547" t="s">
        <v>19</v>
      </c>
      <c r="I547" t="s">
        <v>14</v>
      </c>
      <c r="J547" t="s">
        <v>18</v>
      </c>
      <c r="K547">
        <v>2</v>
      </c>
      <c r="L547" t="s">
        <v>26</v>
      </c>
      <c r="M547" t="s">
        <v>32</v>
      </c>
      <c r="N547">
        <v>29</v>
      </c>
      <c r="O547" t="s">
        <v>18</v>
      </c>
    </row>
    <row r="548" spans="1:15" x14ac:dyDescent="0.2">
      <c r="A548">
        <v>15529</v>
      </c>
      <c r="B548" t="s">
        <v>34</v>
      </c>
      <c r="C548" s="16" t="str">
        <f t="shared" si="16"/>
        <v>Married</v>
      </c>
      <c r="D548" t="s">
        <v>34</v>
      </c>
      <c r="E548" s="16" t="str">
        <f t="shared" si="17"/>
        <v>Male</v>
      </c>
      <c r="F548" s="1">
        <v>60000</v>
      </c>
      <c r="G548">
        <v>4</v>
      </c>
      <c r="H548" t="s">
        <v>13</v>
      </c>
      <c r="I548" t="s">
        <v>21</v>
      </c>
      <c r="J548" t="s">
        <v>15</v>
      </c>
      <c r="K548">
        <v>2</v>
      </c>
      <c r="L548" t="s">
        <v>22</v>
      </c>
      <c r="M548" t="s">
        <v>32</v>
      </c>
      <c r="N548">
        <v>43</v>
      </c>
      <c r="O548" t="s">
        <v>15</v>
      </c>
    </row>
    <row r="549" spans="1:15" x14ac:dyDescent="0.2">
      <c r="A549">
        <v>19884</v>
      </c>
      <c r="B549" t="s">
        <v>34</v>
      </c>
      <c r="C549" s="16" t="str">
        <f t="shared" si="16"/>
        <v>Married</v>
      </c>
      <c r="D549" t="s">
        <v>34</v>
      </c>
      <c r="E549" s="16" t="str">
        <f t="shared" si="17"/>
        <v>Male</v>
      </c>
      <c r="F549" s="1">
        <v>60000</v>
      </c>
      <c r="G549">
        <v>2</v>
      </c>
      <c r="H549" t="s">
        <v>27</v>
      </c>
      <c r="I549" t="s">
        <v>21</v>
      </c>
      <c r="J549" t="s">
        <v>15</v>
      </c>
      <c r="K549">
        <v>2</v>
      </c>
      <c r="L549" t="s">
        <v>22</v>
      </c>
      <c r="M549" t="s">
        <v>32</v>
      </c>
      <c r="N549">
        <v>55</v>
      </c>
      <c r="O549" t="s">
        <v>15</v>
      </c>
    </row>
    <row r="550" spans="1:15" x14ac:dyDescent="0.2">
      <c r="A550">
        <v>18674</v>
      </c>
      <c r="B550" t="s">
        <v>35</v>
      </c>
      <c r="C550" s="16" t="str">
        <f t="shared" si="16"/>
        <v>Single</v>
      </c>
      <c r="D550" t="s">
        <v>33</v>
      </c>
      <c r="E550" s="16" t="str">
        <f t="shared" si="17"/>
        <v>Female</v>
      </c>
      <c r="F550" s="1">
        <v>80000</v>
      </c>
      <c r="G550">
        <v>4</v>
      </c>
      <c r="H550" t="s">
        <v>31</v>
      </c>
      <c r="I550" t="s">
        <v>14</v>
      </c>
      <c r="J550" t="s">
        <v>18</v>
      </c>
      <c r="K550">
        <v>0</v>
      </c>
      <c r="L550" t="s">
        <v>16</v>
      </c>
      <c r="M550" t="s">
        <v>32</v>
      </c>
      <c r="N550">
        <v>48</v>
      </c>
      <c r="O550" t="s">
        <v>18</v>
      </c>
    </row>
    <row r="551" spans="1:15" x14ac:dyDescent="0.2">
      <c r="A551">
        <v>13453</v>
      </c>
      <c r="B551" t="s">
        <v>34</v>
      </c>
      <c r="C551" s="16" t="str">
        <f t="shared" si="16"/>
        <v>Married</v>
      </c>
      <c r="D551" t="s">
        <v>33</v>
      </c>
      <c r="E551" s="16" t="str">
        <f t="shared" si="17"/>
        <v>Female</v>
      </c>
      <c r="F551" s="1">
        <v>130000</v>
      </c>
      <c r="G551">
        <v>3</v>
      </c>
      <c r="H551" t="s">
        <v>13</v>
      </c>
      <c r="I551" t="s">
        <v>28</v>
      </c>
      <c r="J551" t="s">
        <v>15</v>
      </c>
      <c r="K551">
        <v>3</v>
      </c>
      <c r="L551" t="s">
        <v>16</v>
      </c>
      <c r="M551" t="s">
        <v>32</v>
      </c>
      <c r="N551">
        <v>45</v>
      </c>
      <c r="O551" t="s">
        <v>15</v>
      </c>
    </row>
    <row r="552" spans="1:15" x14ac:dyDescent="0.2">
      <c r="A552">
        <v>14063</v>
      </c>
      <c r="B552" t="s">
        <v>35</v>
      </c>
      <c r="C552" s="16" t="str">
        <f t="shared" si="16"/>
        <v>Single</v>
      </c>
      <c r="D552" t="s">
        <v>33</v>
      </c>
      <c r="E552" s="16" t="str">
        <f t="shared" si="17"/>
        <v>Female</v>
      </c>
      <c r="F552" s="1">
        <v>70000</v>
      </c>
      <c r="G552">
        <v>0</v>
      </c>
      <c r="H552" t="s">
        <v>13</v>
      </c>
      <c r="I552" t="s">
        <v>21</v>
      </c>
      <c r="J552" t="s">
        <v>18</v>
      </c>
      <c r="K552">
        <v>1</v>
      </c>
      <c r="L552" t="s">
        <v>16</v>
      </c>
      <c r="M552" t="s">
        <v>24</v>
      </c>
      <c r="N552">
        <v>42</v>
      </c>
      <c r="O552" t="s">
        <v>15</v>
      </c>
    </row>
    <row r="553" spans="1:15" x14ac:dyDescent="0.2">
      <c r="A553">
        <v>27393</v>
      </c>
      <c r="B553" t="s">
        <v>34</v>
      </c>
      <c r="C553" s="16" t="str">
        <f t="shared" si="16"/>
        <v>Married</v>
      </c>
      <c r="D553" t="s">
        <v>33</v>
      </c>
      <c r="E553" s="16" t="str">
        <f t="shared" si="17"/>
        <v>Female</v>
      </c>
      <c r="F553" s="1">
        <v>50000</v>
      </c>
      <c r="G553">
        <v>4</v>
      </c>
      <c r="H553" t="s">
        <v>13</v>
      </c>
      <c r="I553" t="s">
        <v>28</v>
      </c>
      <c r="J553" t="s">
        <v>15</v>
      </c>
      <c r="K553">
        <v>2</v>
      </c>
      <c r="L553" t="s">
        <v>30</v>
      </c>
      <c r="M553" t="s">
        <v>32</v>
      </c>
      <c r="N553">
        <v>63</v>
      </c>
      <c r="O553" t="s">
        <v>18</v>
      </c>
    </row>
    <row r="554" spans="1:15" x14ac:dyDescent="0.2">
      <c r="A554">
        <v>14417</v>
      </c>
      <c r="B554" t="s">
        <v>35</v>
      </c>
      <c r="C554" s="16" t="str">
        <f t="shared" si="16"/>
        <v>Single</v>
      </c>
      <c r="D554" t="s">
        <v>34</v>
      </c>
      <c r="E554" s="16" t="str">
        <f t="shared" si="17"/>
        <v>Male</v>
      </c>
      <c r="F554" s="1">
        <v>60000</v>
      </c>
      <c r="G554">
        <v>3</v>
      </c>
      <c r="H554" t="s">
        <v>27</v>
      </c>
      <c r="I554" t="s">
        <v>21</v>
      </c>
      <c r="J554" t="s">
        <v>15</v>
      </c>
      <c r="K554">
        <v>2</v>
      </c>
      <c r="L554" t="s">
        <v>30</v>
      </c>
      <c r="M554" t="s">
        <v>32</v>
      </c>
      <c r="N554">
        <v>54</v>
      </c>
      <c r="O554" t="s">
        <v>15</v>
      </c>
    </row>
    <row r="555" spans="1:15" x14ac:dyDescent="0.2">
      <c r="A555">
        <v>17533</v>
      </c>
      <c r="B555" t="s">
        <v>34</v>
      </c>
      <c r="C555" s="16" t="str">
        <f t="shared" si="16"/>
        <v>Married</v>
      </c>
      <c r="D555" t="s">
        <v>34</v>
      </c>
      <c r="E555" s="16" t="str">
        <f t="shared" si="17"/>
        <v>Male</v>
      </c>
      <c r="F555" s="1">
        <v>40000</v>
      </c>
      <c r="G555">
        <v>3</v>
      </c>
      <c r="H555" t="s">
        <v>19</v>
      </c>
      <c r="I555" t="s">
        <v>21</v>
      </c>
      <c r="J555" t="s">
        <v>18</v>
      </c>
      <c r="K555">
        <v>2</v>
      </c>
      <c r="L555" t="s">
        <v>23</v>
      </c>
      <c r="M555" t="s">
        <v>32</v>
      </c>
      <c r="N555">
        <v>73</v>
      </c>
      <c r="O555" t="s">
        <v>15</v>
      </c>
    </row>
    <row r="556" spans="1:15" x14ac:dyDescent="0.2">
      <c r="A556">
        <v>18580</v>
      </c>
      <c r="B556" t="s">
        <v>34</v>
      </c>
      <c r="C556" s="16" t="str">
        <f t="shared" si="16"/>
        <v>Married</v>
      </c>
      <c r="D556" t="s">
        <v>33</v>
      </c>
      <c r="E556" s="16" t="str">
        <f t="shared" si="17"/>
        <v>Female</v>
      </c>
      <c r="F556" s="1">
        <v>60000</v>
      </c>
      <c r="G556">
        <v>2</v>
      </c>
      <c r="H556" t="s">
        <v>31</v>
      </c>
      <c r="I556" t="s">
        <v>21</v>
      </c>
      <c r="J556" t="s">
        <v>15</v>
      </c>
      <c r="K556">
        <v>0</v>
      </c>
      <c r="L556" t="s">
        <v>22</v>
      </c>
      <c r="M556" t="s">
        <v>32</v>
      </c>
      <c r="N556">
        <v>40</v>
      </c>
      <c r="O556" t="s">
        <v>15</v>
      </c>
    </row>
    <row r="557" spans="1:15" x14ac:dyDescent="0.2">
      <c r="A557">
        <v>17025</v>
      </c>
      <c r="B557" t="s">
        <v>35</v>
      </c>
      <c r="C557" s="16" t="str">
        <f t="shared" si="16"/>
        <v>Single</v>
      </c>
      <c r="D557" t="s">
        <v>34</v>
      </c>
      <c r="E557" s="16" t="str">
        <f t="shared" si="17"/>
        <v>Male</v>
      </c>
      <c r="F557" s="1">
        <v>50000</v>
      </c>
      <c r="G557">
        <v>0</v>
      </c>
      <c r="H557" t="s">
        <v>19</v>
      </c>
      <c r="I557" t="s">
        <v>14</v>
      </c>
      <c r="J557" t="s">
        <v>18</v>
      </c>
      <c r="K557">
        <v>1</v>
      </c>
      <c r="L557" t="s">
        <v>22</v>
      </c>
      <c r="M557" t="s">
        <v>32</v>
      </c>
      <c r="N557">
        <v>39</v>
      </c>
      <c r="O557" t="s">
        <v>15</v>
      </c>
    </row>
    <row r="558" spans="1:15" x14ac:dyDescent="0.2">
      <c r="A558">
        <v>25293</v>
      </c>
      <c r="B558" t="s">
        <v>34</v>
      </c>
      <c r="C558" s="16" t="str">
        <f t="shared" si="16"/>
        <v>Married</v>
      </c>
      <c r="D558" t="s">
        <v>34</v>
      </c>
      <c r="E558" s="16" t="str">
        <f t="shared" si="17"/>
        <v>Male</v>
      </c>
      <c r="F558" s="1">
        <v>80000</v>
      </c>
      <c r="G558">
        <v>4</v>
      </c>
      <c r="H558" t="s">
        <v>13</v>
      </c>
      <c r="I558" t="s">
        <v>28</v>
      </c>
      <c r="J558" t="s">
        <v>15</v>
      </c>
      <c r="K558">
        <v>0</v>
      </c>
      <c r="L558" t="s">
        <v>26</v>
      </c>
      <c r="M558" t="s">
        <v>32</v>
      </c>
      <c r="N558">
        <v>42</v>
      </c>
      <c r="O558" t="s">
        <v>18</v>
      </c>
    </row>
    <row r="559" spans="1:15" x14ac:dyDescent="0.2">
      <c r="A559">
        <v>24725</v>
      </c>
      <c r="B559" t="s">
        <v>34</v>
      </c>
      <c r="C559" s="16" t="str">
        <f t="shared" si="16"/>
        <v>Married</v>
      </c>
      <c r="D559" t="s">
        <v>33</v>
      </c>
      <c r="E559" s="16" t="str">
        <f t="shared" si="17"/>
        <v>Female</v>
      </c>
      <c r="F559" s="1">
        <v>40000</v>
      </c>
      <c r="G559">
        <v>3</v>
      </c>
      <c r="H559" t="s">
        <v>19</v>
      </c>
      <c r="I559" t="s">
        <v>20</v>
      </c>
      <c r="J559" t="s">
        <v>15</v>
      </c>
      <c r="K559">
        <v>0</v>
      </c>
      <c r="L559" t="s">
        <v>26</v>
      </c>
      <c r="M559" t="s">
        <v>32</v>
      </c>
      <c r="N559">
        <v>31</v>
      </c>
      <c r="O559" t="s">
        <v>18</v>
      </c>
    </row>
    <row r="560" spans="1:15" x14ac:dyDescent="0.2">
      <c r="A560">
        <v>23200</v>
      </c>
      <c r="B560" t="s">
        <v>34</v>
      </c>
      <c r="C560" s="16" t="str">
        <f t="shared" si="16"/>
        <v>Married</v>
      </c>
      <c r="D560" t="s">
        <v>33</v>
      </c>
      <c r="E560" s="16" t="str">
        <f t="shared" si="17"/>
        <v>Female</v>
      </c>
      <c r="F560" s="1">
        <v>50000</v>
      </c>
      <c r="G560">
        <v>3</v>
      </c>
      <c r="H560" t="s">
        <v>13</v>
      </c>
      <c r="I560" t="s">
        <v>14</v>
      </c>
      <c r="J560" t="s">
        <v>15</v>
      </c>
      <c r="K560">
        <v>2</v>
      </c>
      <c r="L560" t="s">
        <v>16</v>
      </c>
      <c r="M560" t="s">
        <v>32</v>
      </c>
      <c r="N560">
        <v>41</v>
      </c>
      <c r="O560" t="s">
        <v>18</v>
      </c>
    </row>
    <row r="561" spans="1:15" x14ac:dyDescent="0.2">
      <c r="A561">
        <v>15895</v>
      </c>
      <c r="B561" t="s">
        <v>35</v>
      </c>
      <c r="C561" s="16" t="str">
        <f t="shared" si="16"/>
        <v>Single</v>
      </c>
      <c r="D561" t="s">
        <v>33</v>
      </c>
      <c r="E561" s="16" t="str">
        <f t="shared" si="17"/>
        <v>Female</v>
      </c>
      <c r="F561" s="1">
        <v>60000</v>
      </c>
      <c r="G561">
        <v>2</v>
      </c>
      <c r="H561" t="s">
        <v>13</v>
      </c>
      <c r="I561" t="s">
        <v>28</v>
      </c>
      <c r="J561" t="s">
        <v>15</v>
      </c>
      <c r="K561">
        <v>0</v>
      </c>
      <c r="L561" t="s">
        <v>30</v>
      </c>
      <c r="M561" t="s">
        <v>32</v>
      </c>
      <c r="N561">
        <v>58</v>
      </c>
      <c r="O561" t="s">
        <v>18</v>
      </c>
    </row>
    <row r="562" spans="1:15" x14ac:dyDescent="0.2">
      <c r="A562">
        <v>18577</v>
      </c>
      <c r="B562" t="s">
        <v>34</v>
      </c>
      <c r="C562" s="16" t="str">
        <f t="shared" si="16"/>
        <v>Married</v>
      </c>
      <c r="D562" t="s">
        <v>33</v>
      </c>
      <c r="E562" s="16" t="str">
        <f t="shared" si="17"/>
        <v>Female</v>
      </c>
      <c r="F562" s="1">
        <v>60000</v>
      </c>
      <c r="G562">
        <v>0</v>
      </c>
      <c r="H562" t="s">
        <v>31</v>
      </c>
      <c r="I562" t="s">
        <v>21</v>
      </c>
      <c r="J562" t="s">
        <v>15</v>
      </c>
      <c r="K562">
        <v>0</v>
      </c>
      <c r="L562" t="s">
        <v>16</v>
      </c>
      <c r="M562" t="s">
        <v>32</v>
      </c>
      <c r="N562">
        <v>40</v>
      </c>
      <c r="O562" t="s">
        <v>18</v>
      </c>
    </row>
    <row r="563" spans="1:15" x14ac:dyDescent="0.2">
      <c r="A563">
        <v>27218</v>
      </c>
      <c r="B563" t="s">
        <v>34</v>
      </c>
      <c r="C563" s="16" t="str">
        <f t="shared" si="16"/>
        <v>Married</v>
      </c>
      <c r="D563" t="s">
        <v>33</v>
      </c>
      <c r="E563" s="16" t="str">
        <f t="shared" si="17"/>
        <v>Female</v>
      </c>
      <c r="F563" s="1">
        <v>20000</v>
      </c>
      <c r="G563">
        <v>2</v>
      </c>
      <c r="H563" t="s">
        <v>29</v>
      </c>
      <c r="I563" t="s">
        <v>20</v>
      </c>
      <c r="J563" t="s">
        <v>18</v>
      </c>
      <c r="K563">
        <v>0</v>
      </c>
      <c r="L563" t="s">
        <v>16</v>
      </c>
      <c r="M563" t="s">
        <v>32</v>
      </c>
      <c r="N563">
        <v>48</v>
      </c>
      <c r="O563" t="s">
        <v>18</v>
      </c>
    </row>
    <row r="564" spans="1:15" x14ac:dyDescent="0.2">
      <c r="A564">
        <v>18560</v>
      </c>
      <c r="B564" t="s">
        <v>34</v>
      </c>
      <c r="C564" s="16" t="str">
        <f t="shared" si="16"/>
        <v>Married</v>
      </c>
      <c r="D564" t="s">
        <v>33</v>
      </c>
      <c r="E564" s="16" t="str">
        <f t="shared" si="17"/>
        <v>Female</v>
      </c>
      <c r="F564" s="1">
        <v>70000</v>
      </c>
      <c r="G564">
        <v>2</v>
      </c>
      <c r="H564" t="s">
        <v>31</v>
      </c>
      <c r="I564" t="s">
        <v>21</v>
      </c>
      <c r="J564" t="s">
        <v>15</v>
      </c>
      <c r="K564">
        <v>0</v>
      </c>
      <c r="L564" t="s">
        <v>22</v>
      </c>
      <c r="M564" t="s">
        <v>32</v>
      </c>
      <c r="N564">
        <v>34</v>
      </c>
      <c r="O564" t="s">
        <v>15</v>
      </c>
    </row>
    <row r="565" spans="1:15" x14ac:dyDescent="0.2">
      <c r="A565">
        <v>25006</v>
      </c>
      <c r="B565" t="s">
        <v>35</v>
      </c>
      <c r="C565" s="16" t="str">
        <f t="shared" si="16"/>
        <v>Single</v>
      </c>
      <c r="D565" t="s">
        <v>33</v>
      </c>
      <c r="E565" s="16" t="str">
        <f t="shared" si="17"/>
        <v>Female</v>
      </c>
      <c r="F565" s="1">
        <v>30000</v>
      </c>
      <c r="G565">
        <v>0</v>
      </c>
      <c r="H565" t="s">
        <v>19</v>
      </c>
      <c r="I565" t="s">
        <v>14</v>
      </c>
      <c r="J565" t="s">
        <v>15</v>
      </c>
      <c r="K565">
        <v>1</v>
      </c>
      <c r="L565" t="s">
        <v>23</v>
      </c>
      <c r="M565" t="s">
        <v>32</v>
      </c>
      <c r="N565">
        <v>28</v>
      </c>
      <c r="O565" t="s">
        <v>18</v>
      </c>
    </row>
    <row r="566" spans="1:15" x14ac:dyDescent="0.2">
      <c r="A566">
        <v>17369</v>
      </c>
      <c r="B566" t="s">
        <v>35</v>
      </c>
      <c r="C566" s="16" t="str">
        <f t="shared" si="16"/>
        <v>Single</v>
      </c>
      <c r="D566" t="s">
        <v>34</v>
      </c>
      <c r="E566" s="16" t="str">
        <f t="shared" si="17"/>
        <v>Male</v>
      </c>
      <c r="F566" s="1">
        <v>30000</v>
      </c>
      <c r="G566">
        <v>0</v>
      </c>
      <c r="H566" t="s">
        <v>19</v>
      </c>
      <c r="I566" t="s">
        <v>14</v>
      </c>
      <c r="J566" t="s">
        <v>15</v>
      </c>
      <c r="K566">
        <v>1</v>
      </c>
      <c r="L566" t="s">
        <v>23</v>
      </c>
      <c r="M566" t="s">
        <v>32</v>
      </c>
      <c r="N566">
        <v>27</v>
      </c>
      <c r="O566" t="s">
        <v>18</v>
      </c>
    </row>
    <row r="567" spans="1:15" x14ac:dyDescent="0.2">
      <c r="A567">
        <v>14495</v>
      </c>
      <c r="B567" t="s">
        <v>34</v>
      </c>
      <c r="C567" s="16" t="str">
        <f t="shared" si="16"/>
        <v>Married</v>
      </c>
      <c r="D567" t="s">
        <v>34</v>
      </c>
      <c r="E567" s="16" t="str">
        <f t="shared" si="17"/>
        <v>Male</v>
      </c>
      <c r="F567" s="1">
        <v>40000</v>
      </c>
      <c r="G567">
        <v>3</v>
      </c>
      <c r="H567" t="s">
        <v>19</v>
      </c>
      <c r="I567" t="s">
        <v>21</v>
      </c>
      <c r="J567" t="s">
        <v>18</v>
      </c>
      <c r="K567">
        <v>2</v>
      </c>
      <c r="L567" t="s">
        <v>23</v>
      </c>
      <c r="M567" t="s">
        <v>32</v>
      </c>
      <c r="N567">
        <v>54</v>
      </c>
      <c r="O567" t="s">
        <v>15</v>
      </c>
    </row>
    <row r="568" spans="1:15" x14ac:dyDescent="0.2">
      <c r="A568">
        <v>18847</v>
      </c>
      <c r="B568" t="s">
        <v>34</v>
      </c>
      <c r="C568" s="16" t="str">
        <f t="shared" si="16"/>
        <v>Married</v>
      </c>
      <c r="D568" t="s">
        <v>33</v>
      </c>
      <c r="E568" s="16" t="str">
        <f t="shared" si="17"/>
        <v>Female</v>
      </c>
      <c r="F568" s="1">
        <v>60000</v>
      </c>
      <c r="G568">
        <v>2</v>
      </c>
      <c r="H568" t="s">
        <v>31</v>
      </c>
      <c r="I568" t="s">
        <v>28</v>
      </c>
      <c r="J568" t="s">
        <v>15</v>
      </c>
      <c r="K568">
        <v>2</v>
      </c>
      <c r="L568" t="s">
        <v>23</v>
      </c>
      <c r="M568" t="s">
        <v>32</v>
      </c>
      <c r="N568">
        <v>70</v>
      </c>
      <c r="O568" t="s">
        <v>18</v>
      </c>
    </row>
    <row r="569" spans="1:15" x14ac:dyDescent="0.2">
      <c r="A569">
        <v>14754</v>
      </c>
      <c r="B569" t="s">
        <v>34</v>
      </c>
      <c r="C569" s="16" t="str">
        <f t="shared" si="16"/>
        <v>Married</v>
      </c>
      <c r="D569" t="s">
        <v>34</v>
      </c>
      <c r="E569" s="16" t="str">
        <f t="shared" si="17"/>
        <v>Male</v>
      </c>
      <c r="F569" s="1">
        <v>40000</v>
      </c>
      <c r="G569">
        <v>1</v>
      </c>
      <c r="H569" t="s">
        <v>19</v>
      </c>
      <c r="I569" t="s">
        <v>20</v>
      </c>
      <c r="J569" t="s">
        <v>15</v>
      </c>
      <c r="K569">
        <v>1</v>
      </c>
      <c r="L569" t="s">
        <v>26</v>
      </c>
      <c r="M569" t="s">
        <v>32</v>
      </c>
      <c r="N569">
        <v>48</v>
      </c>
      <c r="O569" t="s">
        <v>15</v>
      </c>
    </row>
    <row r="570" spans="1:15" x14ac:dyDescent="0.2">
      <c r="A570">
        <v>23378</v>
      </c>
      <c r="B570" t="s">
        <v>34</v>
      </c>
      <c r="C570" s="16" t="str">
        <f t="shared" si="16"/>
        <v>Married</v>
      </c>
      <c r="D570" t="s">
        <v>34</v>
      </c>
      <c r="E570" s="16" t="str">
        <f t="shared" si="17"/>
        <v>Male</v>
      </c>
      <c r="F570" s="1">
        <v>70000</v>
      </c>
      <c r="G570">
        <v>1</v>
      </c>
      <c r="H570" t="s">
        <v>19</v>
      </c>
      <c r="I570" t="s">
        <v>14</v>
      </c>
      <c r="J570" t="s">
        <v>15</v>
      </c>
      <c r="K570">
        <v>1</v>
      </c>
      <c r="L570" t="s">
        <v>22</v>
      </c>
      <c r="M570" t="s">
        <v>32</v>
      </c>
      <c r="N570">
        <v>44</v>
      </c>
      <c r="O570" t="s">
        <v>15</v>
      </c>
    </row>
    <row r="571" spans="1:15" x14ac:dyDescent="0.2">
      <c r="A571">
        <v>26452</v>
      </c>
      <c r="B571" t="s">
        <v>35</v>
      </c>
      <c r="C571" s="16" t="str">
        <f t="shared" si="16"/>
        <v>Single</v>
      </c>
      <c r="D571" t="s">
        <v>34</v>
      </c>
      <c r="E571" s="16" t="str">
        <f t="shared" si="17"/>
        <v>Male</v>
      </c>
      <c r="F571" s="1">
        <v>50000</v>
      </c>
      <c r="G571">
        <v>3</v>
      </c>
      <c r="H571" t="s">
        <v>31</v>
      </c>
      <c r="I571" t="s">
        <v>28</v>
      </c>
      <c r="J571" t="s">
        <v>15</v>
      </c>
      <c r="K571">
        <v>2</v>
      </c>
      <c r="L571" t="s">
        <v>30</v>
      </c>
      <c r="M571" t="s">
        <v>32</v>
      </c>
      <c r="N571">
        <v>69</v>
      </c>
      <c r="O571" t="s">
        <v>18</v>
      </c>
    </row>
    <row r="572" spans="1:15" x14ac:dyDescent="0.2">
      <c r="A572">
        <v>20370</v>
      </c>
      <c r="B572" t="s">
        <v>34</v>
      </c>
      <c r="C572" s="16" t="str">
        <f t="shared" si="16"/>
        <v>Married</v>
      </c>
      <c r="D572" t="s">
        <v>34</v>
      </c>
      <c r="E572" s="16" t="str">
        <f t="shared" si="17"/>
        <v>Male</v>
      </c>
      <c r="F572" s="1">
        <v>70000</v>
      </c>
      <c r="G572">
        <v>3</v>
      </c>
      <c r="H572" t="s">
        <v>29</v>
      </c>
      <c r="I572" t="s">
        <v>14</v>
      </c>
      <c r="J572" t="s">
        <v>15</v>
      </c>
      <c r="K572">
        <v>2</v>
      </c>
      <c r="L572" t="s">
        <v>23</v>
      </c>
      <c r="M572" t="s">
        <v>32</v>
      </c>
      <c r="N572">
        <v>52</v>
      </c>
      <c r="O572" t="s">
        <v>18</v>
      </c>
    </row>
    <row r="573" spans="1:15" x14ac:dyDescent="0.2">
      <c r="A573">
        <v>20528</v>
      </c>
      <c r="B573" t="s">
        <v>34</v>
      </c>
      <c r="C573" s="16" t="str">
        <f t="shared" si="16"/>
        <v>Married</v>
      </c>
      <c r="D573" t="s">
        <v>34</v>
      </c>
      <c r="E573" s="16" t="str">
        <f t="shared" si="17"/>
        <v>Male</v>
      </c>
      <c r="F573" s="1">
        <v>40000</v>
      </c>
      <c r="G573">
        <v>2</v>
      </c>
      <c r="H573" t="s">
        <v>29</v>
      </c>
      <c r="I573" t="s">
        <v>14</v>
      </c>
      <c r="J573" t="s">
        <v>15</v>
      </c>
      <c r="K573">
        <v>2</v>
      </c>
      <c r="L573" t="s">
        <v>22</v>
      </c>
      <c r="M573" t="s">
        <v>32</v>
      </c>
      <c r="N573">
        <v>55</v>
      </c>
      <c r="O573" t="s">
        <v>18</v>
      </c>
    </row>
    <row r="574" spans="1:15" x14ac:dyDescent="0.2">
      <c r="A574">
        <v>23549</v>
      </c>
      <c r="B574" t="s">
        <v>35</v>
      </c>
      <c r="C574" s="16" t="str">
        <f t="shared" si="16"/>
        <v>Single</v>
      </c>
      <c r="D574" t="s">
        <v>34</v>
      </c>
      <c r="E574" s="16" t="str">
        <f t="shared" si="17"/>
        <v>Male</v>
      </c>
      <c r="F574" s="1">
        <v>30000</v>
      </c>
      <c r="G574">
        <v>0</v>
      </c>
      <c r="H574" t="s">
        <v>27</v>
      </c>
      <c r="I574" t="s">
        <v>14</v>
      </c>
      <c r="J574" t="s">
        <v>15</v>
      </c>
      <c r="K574">
        <v>2</v>
      </c>
      <c r="L574" t="s">
        <v>23</v>
      </c>
      <c r="M574" t="s">
        <v>32</v>
      </c>
      <c r="N574">
        <v>30</v>
      </c>
      <c r="O574" t="s">
        <v>18</v>
      </c>
    </row>
    <row r="575" spans="1:15" x14ac:dyDescent="0.2">
      <c r="A575">
        <v>21751</v>
      </c>
      <c r="B575" t="s">
        <v>34</v>
      </c>
      <c r="C575" s="16" t="str">
        <f t="shared" si="16"/>
        <v>Married</v>
      </c>
      <c r="D575" t="s">
        <v>34</v>
      </c>
      <c r="E575" s="16" t="str">
        <f t="shared" si="17"/>
        <v>Male</v>
      </c>
      <c r="F575" s="1">
        <v>60000</v>
      </c>
      <c r="G575">
        <v>3</v>
      </c>
      <c r="H575" t="s">
        <v>31</v>
      </c>
      <c r="I575" t="s">
        <v>28</v>
      </c>
      <c r="J575" t="s">
        <v>15</v>
      </c>
      <c r="K575">
        <v>2</v>
      </c>
      <c r="L575" t="s">
        <v>26</v>
      </c>
      <c r="M575" t="s">
        <v>32</v>
      </c>
      <c r="N575">
        <v>63</v>
      </c>
      <c r="O575" t="s">
        <v>18</v>
      </c>
    </row>
    <row r="576" spans="1:15" x14ac:dyDescent="0.2">
      <c r="A576">
        <v>21266</v>
      </c>
      <c r="B576" t="s">
        <v>35</v>
      </c>
      <c r="C576" s="16" t="str">
        <f t="shared" si="16"/>
        <v>Single</v>
      </c>
      <c r="D576" t="s">
        <v>33</v>
      </c>
      <c r="E576" s="16" t="str">
        <f t="shared" si="17"/>
        <v>Female</v>
      </c>
      <c r="F576" s="1">
        <v>80000</v>
      </c>
      <c r="G576">
        <v>0</v>
      </c>
      <c r="H576" t="s">
        <v>13</v>
      </c>
      <c r="I576" t="s">
        <v>28</v>
      </c>
      <c r="J576" t="s">
        <v>15</v>
      </c>
      <c r="K576">
        <v>1</v>
      </c>
      <c r="L576" t="s">
        <v>26</v>
      </c>
      <c r="M576" t="s">
        <v>32</v>
      </c>
      <c r="N576">
        <v>34</v>
      </c>
      <c r="O576" t="s">
        <v>15</v>
      </c>
    </row>
    <row r="577" spans="1:15" x14ac:dyDescent="0.2">
      <c r="A577">
        <v>13388</v>
      </c>
      <c r="B577" t="s">
        <v>35</v>
      </c>
      <c r="C577" s="16" t="str">
        <f t="shared" si="16"/>
        <v>Single</v>
      </c>
      <c r="D577" t="s">
        <v>34</v>
      </c>
      <c r="E577" s="16" t="str">
        <f t="shared" si="17"/>
        <v>Male</v>
      </c>
      <c r="F577" s="1">
        <v>60000</v>
      </c>
      <c r="G577">
        <v>2</v>
      </c>
      <c r="H577" t="s">
        <v>19</v>
      </c>
      <c r="I577" t="s">
        <v>21</v>
      </c>
      <c r="J577" t="s">
        <v>15</v>
      </c>
      <c r="K577">
        <v>1</v>
      </c>
      <c r="L577" t="s">
        <v>30</v>
      </c>
      <c r="M577" t="s">
        <v>32</v>
      </c>
      <c r="N577">
        <v>56</v>
      </c>
      <c r="O577" t="s">
        <v>18</v>
      </c>
    </row>
    <row r="578" spans="1:15" x14ac:dyDescent="0.2">
      <c r="A578">
        <v>18752</v>
      </c>
      <c r="B578" t="s">
        <v>35</v>
      </c>
      <c r="C578" s="16" t="str">
        <f t="shared" ref="C578:C641" si="18">IF(B578="M","Married","Single")</f>
        <v>Single</v>
      </c>
      <c r="D578" t="s">
        <v>33</v>
      </c>
      <c r="E578" s="16" t="str">
        <f t="shared" ref="E578:E641" si="19">IF(D578="F","Female","Male")</f>
        <v>Female</v>
      </c>
      <c r="F578" s="1">
        <v>40000</v>
      </c>
      <c r="G578">
        <v>0</v>
      </c>
      <c r="H578" t="s">
        <v>27</v>
      </c>
      <c r="I578" t="s">
        <v>14</v>
      </c>
      <c r="J578" t="s">
        <v>15</v>
      </c>
      <c r="K578">
        <v>1</v>
      </c>
      <c r="L578" t="s">
        <v>23</v>
      </c>
      <c r="M578" t="s">
        <v>32</v>
      </c>
      <c r="N578">
        <v>31</v>
      </c>
      <c r="O578" t="s">
        <v>18</v>
      </c>
    </row>
    <row r="579" spans="1:15" x14ac:dyDescent="0.2">
      <c r="A579">
        <v>16917</v>
      </c>
      <c r="B579" t="s">
        <v>34</v>
      </c>
      <c r="C579" s="16" t="str">
        <f t="shared" si="18"/>
        <v>Married</v>
      </c>
      <c r="D579" t="s">
        <v>34</v>
      </c>
      <c r="E579" s="16" t="str">
        <f t="shared" si="19"/>
        <v>Male</v>
      </c>
      <c r="F579" s="1">
        <v>120000</v>
      </c>
      <c r="G579">
        <v>1</v>
      </c>
      <c r="H579" t="s">
        <v>13</v>
      </c>
      <c r="I579" t="s">
        <v>28</v>
      </c>
      <c r="J579" t="s">
        <v>15</v>
      </c>
      <c r="K579">
        <v>4</v>
      </c>
      <c r="L579" t="s">
        <v>16</v>
      </c>
      <c r="M579" t="s">
        <v>32</v>
      </c>
      <c r="N579">
        <v>38</v>
      </c>
      <c r="O579" t="s">
        <v>18</v>
      </c>
    </row>
    <row r="580" spans="1:15" x14ac:dyDescent="0.2">
      <c r="A580">
        <v>15313</v>
      </c>
      <c r="B580" t="s">
        <v>34</v>
      </c>
      <c r="C580" s="16" t="str">
        <f t="shared" si="18"/>
        <v>Married</v>
      </c>
      <c r="D580" t="s">
        <v>34</v>
      </c>
      <c r="E580" s="16" t="str">
        <f t="shared" si="19"/>
        <v>Male</v>
      </c>
      <c r="F580" s="1">
        <v>60000</v>
      </c>
      <c r="G580">
        <v>4</v>
      </c>
      <c r="H580" t="s">
        <v>13</v>
      </c>
      <c r="I580" t="s">
        <v>28</v>
      </c>
      <c r="J580" t="s">
        <v>15</v>
      </c>
      <c r="K580">
        <v>2</v>
      </c>
      <c r="L580" t="s">
        <v>22</v>
      </c>
      <c r="M580" t="s">
        <v>32</v>
      </c>
      <c r="N580">
        <v>59</v>
      </c>
      <c r="O580" t="s">
        <v>18</v>
      </c>
    </row>
    <row r="581" spans="1:15" x14ac:dyDescent="0.2">
      <c r="A581">
        <v>25329</v>
      </c>
      <c r="B581" t="s">
        <v>35</v>
      </c>
      <c r="C581" s="16" t="str">
        <f t="shared" si="18"/>
        <v>Single</v>
      </c>
      <c r="D581" t="s">
        <v>33</v>
      </c>
      <c r="E581" s="16" t="str">
        <f t="shared" si="19"/>
        <v>Female</v>
      </c>
      <c r="F581" s="1">
        <v>40000</v>
      </c>
      <c r="G581">
        <v>3</v>
      </c>
      <c r="H581" t="s">
        <v>19</v>
      </c>
      <c r="I581" t="s">
        <v>20</v>
      </c>
      <c r="J581" t="s">
        <v>18</v>
      </c>
      <c r="K581">
        <v>2</v>
      </c>
      <c r="L581" t="s">
        <v>16</v>
      </c>
      <c r="M581" t="s">
        <v>32</v>
      </c>
      <c r="N581">
        <v>32</v>
      </c>
      <c r="O581" t="s">
        <v>18</v>
      </c>
    </row>
    <row r="582" spans="1:15" x14ac:dyDescent="0.2">
      <c r="A582">
        <v>20380</v>
      </c>
      <c r="B582" t="s">
        <v>34</v>
      </c>
      <c r="C582" s="16" t="str">
        <f t="shared" si="18"/>
        <v>Married</v>
      </c>
      <c r="D582" t="s">
        <v>33</v>
      </c>
      <c r="E582" s="16" t="str">
        <f t="shared" si="19"/>
        <v>Female</v>
      </c>
      <c r="F582" s="1">
        <v>60000</v>
      </c>
      <c r="G582">
        <v>3</v>
      </c>
      <c r="H582" t="s">
        <v>31</v>
      </c>
      <c r="I582" t="s">
        <v>28</v>
      </c>
      <c r="J582" t="s">
        <v>15</v>
      </c>
      <c r="K582">
        <v>2</v>
      </c>
      <c r="L582" t="s">
        <v>30</v>
      </c>
      <c r="M582" t="s">
        <v>32</v>
      </c>
      <c r="N582">
        <v>69</v>
      </c>
      <c r="O582" t="s">
        <v>18</v>
      </c>
    </row>
    <row r="583" spans="1:15" x14ac:dyDescent="0.2">
      <c r="A583">
        <v>23089</v>
      </c>
      <c r="B583" t="s">
        <v>34</v>
      </c>
      <c r="C583" s="16" t="str">
        <f t="shared" si="18"/>
        <v>Married</v>
      </c>
      <c r="D583" t="s">
        <v>34</v>
      </c>
      <c r="E583" s="16" t="str">
        <f t="shared" si="19"/>
        <v>Male</v>
      </c>
      <c r="F583" s="1">
        <v>40000</v>
      </c>
      <c r="G583">
        <v>0</v>
      </c>
      <c r="H583" t="s">
        <v>19</v>
      </c>
      <c r="I583" t="s">
        <v>14</v>
      </c>
      <c r="J583" t="s">
        <v>15</v>
      </c>
      <c r="K583">
        <v>1</v>
      </c>
      <c r="L583" t="s">
        <v>23</v>
      </c>
      <c r="M583" t="s">
        <v>32</v>
      </c>
      <c r="N583">
        <v>28</v>
      </c>
      <c r="O583" t="s">
        <v>18</v>
      </c>
    </row>
    <row r="584" spans="1:15" x14ac:dyDescent="0.2">
      <c r="A584">
        <v>13749</v>
      </c>
      <c r="B584" t="s">
        <v>34</v>
      </c>
      <c r="C584" s="16" t="str">
        <f t="shared" si="18"/>
        <v>Married</v>
      </c>
      <c r="D584" t="s">
        <v>34</v>
      </c>
      <c r="E584" s="16" t="str">
        <f t="shared" si="19"/>
        <v>Male</v>
      </c>
      <c r="F584" s="1">
        <v>80000</v>
      </c>
      <c r="G584">
        <v>4</v>
      </c>
      <c r="H584" t="s">
        <v>31</v>
      </c>
      <c r="I584" t="s">
        <v>14</v>
      </c>
      <c r="J584" t="s">
        <v>15</v>
      </c>
      <c r="K584">
        <v>0</v>
      </c>
      <c r="L584" t="s">
        <v>26</v>
      </c>
      <c r="M584" t="s">
        <v>32</v>
      </c>
      <c r="N584">
        <v>47</v>
      </c>
      <c r="O584" t="s">
        <v>18</v>
      </c>
    </row>
    <row r="585" spans="1:15" x14ac:dyDescent="0.2">
      <c r="A585">
        <v>24943</v>
      </c>
      <c r="B585" t="s">
        <v>34</v>
      </c>
      <c r="C585" s="16" t="str">
        <f t="shared" si="18"/>
        <v>Married</v>
      </c>
      <c r="D585" t="s">
        <v>34</v>
      </c>
      <c r="E585" s="16" t="str">
        <f t="shared" si="19"/>
        <v>Male</v>
      </c>
      <c r="F585" s="1">
        <v>60000</v>
      </c>
      <c r="G585">
        <v>3</v>
      </c>
      <c r="H585" t="s">
        <v>13</v>
      </c>
      <c r="I585" t="s">
        <v>28</v>
      </c>
      <c r="J585" t="s">
        <v>15</v>
      </c>
      <c r="K585">
        <v>2</v>
      </c>
      <c r="L585" t="s">
        <v>30</v>
      </c>
      <c r="M585" t="s">
        <v>32</v>
      </c>
      <c r="N585">
        <v>66</v>
      </c>
      <c r="O585" t="s">
        <v>18</v>
      </c>
    </row>
    <row r="586" spans="1:15" x14ac:dyDescent="0.2">
      <c r="A586">
        <v>28667</v>
      </c>
      <c r="B586" t="s">
        <v>35</v>
      </c>
      <c r="C586" s="16" t="str">
        <f t="shared" si="18"/>
        <v>Single</v>
      </c>
      <c r="D586" t="s">
        <v>34</v>
      </c>
      <c r="E586" s="16" t="str">
        <f t="shared" si="19"/>
        <v>Male</v>
      </c>
      <c r="F586" s="1">
        <v>70000</v>
      </c>
      <c r="G586">
        <v>2</v>
      </c>
      <c r="H586" t="s">
        <v>13</v>
      </c>
      <c r="I586" t="s">
        <v>14</v>
      </c>
      <c r="J586" t="s">
        <v>18</v>
      </c>
      <c r="K586">
        <v>1</v>
      </c>
      <c r="L586" t="s">
        <v>16</v>
      </c>
      <c r="M586" t="s">
        <v>32</v>
      </c>
      <c r="N586">
        <v>37</v>
      </c>
      <c r="O586" t="s">
        <v>15</v>
      </c>
    </row>
    <row r="587" spans="1:15" x14ac:dyDescent="0.2">
      <c r="A587">
        <v>15194</v>
      </c>
      <c r="B587" t="s">
        <v>35</v>
      </c>
      <c r="C587" s="16" t="str">
        <f t="shared" si="18"/>
        <v>Single</v>
      </c>
      <c r="D587" t="s">
        <v>34</v>
      </c>
      <c r="E587" s="16" t="str">
        <f t="shared" si="19"/>
        <v>Male</v>
      </c>
      <c r="F587" s="1">
        <v>120000</v>
      </c>
      <c r="G587">
        <v>2</v>
      </c>
      <c r="H587" t="s">
        <v>13</v>
      </c>
      <c r="I587" t="s">
        <v>28</v>
      </c>
      <c r="J587" t="s">
        <v>18</v>
      </c>
      <c r="K587">
        <v>3</v>
      </c>
      <c r="L587" t="s">
        <v>16</v>
      </c>
      <c r="M587" t="s">
        <v>32</v>
      </c>
      <c r="N587">
        <v>39</v>
      </c>
      <c r="O587" t="s">
        <v>15</v>
      </c>
    </row>
    <row r="588" spans="1:15" x14ac:dyDescent="0.2">
      <c r="A588">
        <v>17436</v>
      </c>
      <c r="B588" t="s">
        <v>34</v>
      </c>
      <c r="C588" s="16" t="str">
        <f t="shared" si="18"/>
        <v>Married</v>
      </c>
      <c r="D588" t="s">
        <v>34</v>
      </c>
      <c r="E588" s="16" t="str">
        <f t="shared" si="19"/>
        <v>Male</v>
      </c>
      <c r="F588" s="1">
        <v>60000</v>
      </c>
      <c r="G588">
        <v>2</v>
      </c>
      <c r="H588" t="s">
        <v>27</v>
      </c>
      <c r="I588" t="s">
        <v>21</v>
      </c>
      <c r="J588" t="s">
        <v>18</v>
      </c>
      <c r="K588">
        <v>2</v>
      </c>
      <c r="L588" t="s">
        <v>26</v>
      </c>
      <c r="M588" t="s">
        <v>32</v>
      </c>
      <c r="N588">
        <v>51</v>
      </c>
      <c r="O588" t="s">
        <v>18</v>
      </c>
    </row>
    <row r="589" spans="1:15" x14ac:dyDescent="0.2">
      <c r="A589">
        <v>18935</v>
      </c>
      <c r="B589" t="s">
        <v>34</v>
      </c>
      <c r="C589" s="16" t="str">
        <f t="shared" si="18"/>
        <v>Married</v>
      </c>
      <c r="D589" t="s">
        <v>33</v>
      </c>
      <c r="E589" s="16" t="str">
        <f t="shared" si="19"/>
        <v>Female</v>
      </c>
      <c r="F589" s="1">
        <v>130000</v>
      </c>
      <c r="G589">
        <v>0</v>
      </c>
      <c r="H589" t="s">
        <v>31</v>
      </c>
      <c r="I589" t="s">
        <v>28</v>
      </c>
      <c r="J589" t="s">
        <v>15</v>
      </c>
      <c r="K589">
        <v>3</v>
      </c>
      <c r="L589" t="s">
        <v>26</v>
      </c>
      <c r="M589" t="s">
        <v>32</v>
      </c>
      <c r="N589">
        <v>40</v>
      </c>
      <c r="O589" t="s">
        <v>18</v>
      </c>
    </row>
    <row r="590" spans="1:15" x14ac:dyDescent="0.2">
      <c r="A590">
        <v>16871</v>
      </c>
      <c r="B590" t="s">
        <v>34</v>
      </c>
      <c r="C590" s="16" t="str">
        <f t="shared" si="18"/>
        <v>Married</v>
      </c>
      <c r="D590" t="s">
        <v>33</v>
      </c>
      <c r="E590" s="16" t="str">
        <f t="shared" si="19"/>
        <v>Female</v>
      </c>
      <c r="F590" s="1">
        <v>90000</v>
      </c>
      <c r="G590">
        <v>2</v>
      </c>
      <c r="H590" t="s">
        <v>27</v>
      </c>
      <c r="I590" t="s">
        <v>21</v>
      </c>
      <c r="J590" t="s">
        <v>15</v>
      </c>
      <c r="K590">
        <v>1</v>
      </c>
      <c r="L590" t="s">
        <v>30</v>
      </c>
      <c r="M590" t="s">
        <v>32</v>
      </c>
      <c r="N590">
        <v>51</v>
      </c>
      <c r="O590" t="s">
        <v>15</v>
      </c>
    </row>
    <row r="591" spans="1:15" x14ac:dyDescent="0.2">
      <c r="A591">
        <v>12100</v>
      </c>
      <c r="B591" t="s">
        <v>35</v>
      </c>
      <c r="C591" s="16" t="str">
        <f t="shared" si="18"/>
        <v>Single</v>
      </c>
      <c r="D591" t="s">
        <v>34</v>
      </c>
      <c r="E591" s="16" t="str">
        <f t="shared" si="19"/>
        <v>Male</v>
      </c>
      <c r="F591" s="1">
        <v>60000</v>
      </c>
      <c r="G591">
        <v>2</v>
      </c>
      <c r="H591" t="s">
        <v>13</v>
      </c>
      <c r="I591" t="s">
        <v>28</v>
      </c>
      <c r="J591" t="s">
        <v>15</v>
      </c>
      <c r="K591">
        <v>0</v>
      </c>
      <c r="L591" t="s">
        <v>30</v>
      </c>
      <c r="M591" t="s">
        <v>32</v>
      </c>
      <c r="N591">
        <v>57</v>
      </c>
      <c r="O591" t="s">
        <v>18</v>
      </c>
    </row>
    <row r="592" spans="1:15" x14ac:dyDescent="0.2">
      <c r="A592">
        <v>23158</v>
      </c>
      <c r="B592" t="s">
        <v>34</v>
      </c>
      <c r="C592" s="16" t="str">
        <f t="shared" si="18"/>
        <v>Married</v>
      </c>
      <c r="D592" t="s">
        <v>33</v>
      </c>
      <c r="E592" s="16" t="str">
        <f t="shared" si="19"/>
        <v>Female</v>
      </c>
      <c r="F592" s="1">
        <v>60000</v>
      </c>
      <c r="G592">
        <v>1</v>
      </c>
      <c r="H592" t="s">
        <v>31</v>
      </c>
      <c r="I592" t="s">
        <v>21</v>
      </c>
      <c r="J592" t="s">
        <v>18</v>
      </c>
      <c r="K592">
        <v>0</v>
      </c>
      <c r="L592" t="s">
        <v>16</v>
      </c>
      <c r="M592" t="s">
        <v>32</v>
      </c>
      <c r="N592">
        <v>35</v>
      </c>
      <c r="O592" t="s">
        <v>15</v>
      </c>
    </row>
    <row r="593" spans="1:15" x14ac:dyDescent="0.2">
      <c r="A593">
        <v>18545</v>
      </c>
      <c r="B593" t="s">
        <v>34</v>
      </c>
      <c r="C593" s="16" t="str">
        <f t="shared" si="18"/>
        <v>Married</v>
      </c>
      <c r="D593" t="s">
        <v>34</v>
      </c>
      <c r="E593" s="16" t="str">
        <f t="shared" si="19"/>
        <v>Male</v>
      </c>
      <c r="F593" s="1">
        <v>40000</v>
      </c>
      <c r="G593">
        <v>4</v>
      </c>
      <c r="H593" t="s">
        <v>27</v>
      </c>
      <c r="I593" t="s">
        <v>21</v>
      </c>
      <c r="J593" t="s">
        <v>18</v>
      </c>
      <c r="K593">
        <v>2</v>
      </c>
      <c r="L593" t="s">
        <v>30</v>
      </c>
      <c r="M593" t="s">
        <v>32</v>
      </c>
      <c r="N593">
        <v>61</v>
      </c>
      <c r="O593" t="s">
        <v>15</v>
      </c>
    </row>
    <row r="594" spans="1:15" x14ac:dyDescent="0.2">
      <c r="A594">
        <v>18391</v>
      </c>
      <c r="B594" t="s">
        <v>35</v>
      </c>
      <c r="C594" s="16" t="str">
        <f t="shared" si="18"/>
        <v>Single</v>
      </c>
      <c r="D594" t="s">
        <v>33</v>
      </c>
      <c r="E594" s="16" t="str">
        <f t="shared" si="19"/>
        <v>Female</v>
      </c>
      <c r="F594" s="1">
        <v>80000</v>
      </c>
      <c r="G594">
        <v>5</v>
      </c>
      <c r="H594" t="s">
        <v>19</v>
      </c>
      <c r="I594" t="s">
        <v>21</v>
      </c>
      <c r="J594" t="s">
        <v>15</v>
      </c>
      <c r="K594">
        <v>2</v>
      </c>
      <c r="L594" t="s">
        <v>23</v>
      </c>
      <c r="M594" t="s">
        <v>32</v>
      </c>
      <c r="N594">
        <v>44</v>
      </c>
      <c r="O594" t="s">
        <v>18</v>
      </c>
    </row>
    <row r="595" spans="1:15" x14ac:dyDescent="0.2">
      <c r="A595">
        <v>19812</v>
      </c>
      <c r="B595" t="s">
        <v>35</v>
      </c>
      <c r="C595" s="16" t="str">
        <f t="shared" si="18"/>
        <v>Single</v>
      </c>
      <c r="D595" t="s">
        <v>33</v>
      </c>
      <c r="E595" s="16" t="str">
        <f t="shared" si="19"/>
        <v>Female</v>
      </c>
      <c r="F595" s="1">
        <v>70000</v>
      </c>
      <c r="G595">
        <v>2</v>
      </c>
      <c r="H595" t="s">
        <v>19</v>
      </c>
      <c r="I595" t="s">
        <v>21</v>
      </c>
      <c r="J595" t="s">
        <v>15</v>
      </c>
      <c r="K595">
        <v>0</v>
      </c>
      <c r="L595" t="s">
        <v>23</v>
      </c>
      <c r="M595" t="s">
        <v>32</v>
      </c>
      <c r="N595">
        <v>49</v>
      </c>
      <c r="O595" t="s">
        <v>15</v>
      </c>
    </row>
    <row r="596" spans="1:15" x14ac:dyDescent="0.2">
      <c r="A596">
        <v>27660</v>
      </c>
      <c r="B596" t="s">
        <v>34</v>
      </c>
      <c r="C596" s="16" t="str">
        <f t="shared" si="18"/>
        <v>Married</v>
      </c>
      <c r="D596" t="s">
        <v>34</v>
      </c>
      <c r="E596" s="16" t="str">
        <f t="shared" si="19"/>
        <v>Male</v>
      </c>
      <c r="F596" s="1">
        <v>80000</v>
      </c>
      <c r="G596">
        <v>4</v>
      </c>
      <c r="H596" t="s">
        <v>31</v>
      </c>
      <c r="I596" t="s">
        <v>28</v>
      </c>
      <c r="J596" t="s">
        <v>15</v>
      </c>
      <c r="K596">
        <v>2</v>
      </c>
      <c r="L596" t="s">
        <v>23</v>
      </c>
      <c r="M596" t="s">
        <v>32</v>
      </c>
      <c r="N596">
        <v>70</v>
      </c>
      <c r="O596" t="s">
        <v>18</v>
      </c>
    </row>
    <row r="597" spans="1:15" x14ac:dyDescent="0.2">
      <c r="A597">
        <v>18058</v>
      </c>
      <c r="B597" t="s">
        <v>35</v>
      </c>
      <c r="C597" s="16" t="str">
        <f t="shared" si="18"/>
        <v>Single</v>
      </c>
      <c r="D597" t="s">
        <v>33</v>
      </c>
      <c r="E597" s="16" t="str">
        <f t="shared" si="19"/>
        <v>Female</v>
      </c>
      <c r="F597" s="1">
        <v>20000</v>
      </c>
      <c r="G597">
        <v>3</v>
      </c>
      <c r="H597" t="s">
        <v>27</v>
      </c>
      <c r="I597" t="s">
        <v>14</v>
      </c>
      <c r="J597" t="s">
        <v>15</v>
      </c>
      <c r="K597">
        <v>2</v>
      </c>
      <c r="L597" t="s">
        <v>22</v>
      </c>
      <c r="M597" t="s">
        <v>32</v>
      </c>
      <c r="N597">
        <v>78</v>
      </c>
      <c r="O597" t="s">
        <v>18</v>
      </c>
    </row>
    <row r="598" spans="1:15" x14ac:dyDescent="0.2">
      <c r="A598">
        <v>20343</v>
      </c>
      <c r="B598" t="s">
        <v>34</v>
      </c>
      <c r="C598" s="16" t="str">
        <f t="shared" si="18"/>
        <v>Married</v>
      </c>
      <c r="D598" t="s">
        <v>33</v>
      </c>
      <c r="E598" s="16" t="str">
        <f t="shared" si="19"/>
        <v>Female</v>
      </c>
      <c r="F598" s="1">
        <v>90000</v>
      </c>
      <c r="G598">
        <v>4</v>
      </c>
      <c r="H598" t="s">
        <v>19</v>
      </c>
      <c r="I598" t="s">
        <v>21</v>
      </c>
      <c r="J598" t="s">
        <v>15</v>
      </c>
      <c r="K598">
        <v>1</v>
      </c>
      <c r="L598" t="s">
        <v>26</v>
      </c>
      <c r="M598" t="s">
        <v>32</v>
      </c>
      <c r="N598">
        <v>45</v>
      </c>
      <c r="O598" t="s">
        <v>18</v>
      </c>
    </row>
    <row r="599" spans="1:15" x14ac:dyDescent="0.2">
      <c r="A599">
        <v>28997</v>
      </c>
      <c r="B599" t="s">
        <v>35</v>
      </c>
      <c r="C599" s="16" t="str">
        <f t="shared" si="18"/>
        <v>Single</v>
      </c>
      <c r="D599" t="s">
        <v>34</v>
      </c>
      <c r="E599" s="16" t="str">
        <f t="shared" si="19"/>
        <v>Male</v>
      </c>
      <c r="F599" s="1">
        <v>40000</v>
      </c>
      <c r="G599">
        <v>2</v>
      </c>
      <c r="H599" t="s">
        <v>27</v>
      </c>
      <c r="I599" t="s">
        <v>21</v>
      </c>
      <c r="J599" t="s">
        <v>18</v>
      </c>
      <c r="K599">
        <v>1</v>
      </c>
      <c r="L599" t="s">
        <v>22</v>
      </c>
      <c r="M599" t="s">
        <v>32</v>
      </c>
      <c r="N599">
        <v>58</v>
      </c>
      <c r="O599" t="s">
        <v>15</v>
      </c>
    </row>
    <row r="600" spans="1:15" x14ac:dyDescent="0.2">
      <c r="A600">
        <v>24398</v>
      </c>
      <c r="B600" t="s">
        <v>34</v>
      </c>
      <c r="C600" s="16" t="str">
        <f t="shared" si="18"/>
        <v>Married</v>
      </c>
      <c r="D600" t="s">
        <v>34</v>
      </c>
      <c r="E600" s="16" t="str">
        <f t="shared" si="19"/>
        <v>Male</v>
      </c>
      <c r="F600" s="1">
        <v>130000</v>
      </c>
      <c r="G600">
        <v>1</v>
      </c>
      <c r="H600" t="s">
        <v>31</v>
      </c>
      <c r="I600" t="s">
        <v>28</v>
      </c>
      <c r="J600" t="s">
        <v>15</v>
      </c>
      <c r="K600">
        <v>4</v>
      </c>
      <c r="L600" t="s">
        <v>16</v>
      </c>
      <c r="M600" t="s">
        <v>32</v>
      </c>
      <c r="N600">
        <v>41</v>
      </c>
      <c r="O600" t="s">
        <v>18</v>
      </c>
    </row>
    <row r="601" spans="1:15" x14ac:dyDescent="0.2">
      <c r="A601">
        <v>19002</v>
      </c>
      <c r="B601" t="s">
        <v>34</v>
      </c>
      <c r="C601" s="16" t="str">
        <f t="shared" si="18"/>
        <v>Married</v>
      </c>
      <c r="D601" t="s">
        <v>33</v>
      </c>
      <c r="E601" s="16" t="str">
        <f t="shared" si="19"/>
        <v>Female</v>
      </c>
      <c r="F601" s="1">
        <v>60000</v>
      </c>
      <c r="G601">
        <v>2</v>
      </c>
      <c r="H601" t="s">
        <v>19</v>
      </c>
      <c r="I601" t="s">
        <v>21</v>
      </c>
      <c r="J601" t="s">
        <v>15</v>
      </c>
      <c r="K601">
        <v>1</v>
      </c>
      <c r="L601" t="s">
        <v>22</v>
      </c>
      <c r="M601" t="s">
        <v>32</v>
      </c>
      <c r="N601">
        <v>57</v>
      </c>
      <c r="O601" t="s">
        <v>15</v>
      </c>
    </row>
    <row r="602" spans="1:15" x14ac:dyDescent="0.2">
      <c r="A602">
        <v>28609</v>
      </c>
      <c r="B602" t="s">
        <v>34</v>
      </c>
      <c r="C602" s="16" t="str">
        <f t="shared" si="18"/>
        <v>Married</v>
      </c>
      <c r="D602" t="s">
        <v>34</v>
      </c>
      <c r="E602" s="16" t="str">
        <f t="shared" si="19"/>
        <v>Male</v>
      </c>
      <c r="F602" s="1">
        <v>30000</v>
      </c>
      <c r="G602">
        <v>2</v>
      </c>
      <c r="H602" t="s">
        <v>27</v>
      </c>
      <c r="I602" t="s">
        <v>14</v>
      </c>
      <c r="J602" t="s">
        <v>18</v>
      </c>
      <c r="K602">
        <v>2</v>
      </c>
      <c r="L602" t="s">
        <v>16</v>
      </c>
      <c r="M602" t="s">
        <v>32</v>
      </c>
      <c r="N602">
        <v>49</v>
      </c>
      <c r="O602" t="s">
        <v>18</v>
      </c>
    </row>
    <row r="603" spans="1:15" x14ac:dyDescent="0.2">
      <c r="A603">
        <v>29231</v>
      </c>
      <c r="B603" t="s">
        <v>35</v>
      </c>
      <c r="C603" s="16" t="str">
        <f t="shared" si="18"/>
        <v>Single</v>
      </c>
      <c r="D603" t="s">
        <v>34</v>
      </c>
      <c r="E603" s="16" t="str">
        <f t="shared" si="19"/>
        <v>Male</v>
      </c>
      <c r="F603" s="1">
        <v>80000</v>
      </c>
      <c r="G603">
        <v>4</v>
      </c>
      <c r="H603" t="s">
        <v>19</v>
      </c>
      <c r="I603" t="s">
        <v>21</v>
      </c>
      <c r="J603" t="s">
        <v>18</v>
      </c>
      <c r="K603">
        <v>2</v>
      </c>
      <c r="L603" t="s">
        <v>16</v>
      </c>
      <c r="M603" t="s">
        <v>32</v>
      </c>
      <c r="N603">
        <v>43</v>
      </c>
      <c r="O603" t="s">
        <v>18</v>
      </c>
    </row>
    <row r="604" spans="1:15" x14ac:dyDescent="0.2">
      <c r="A604">
        <v>18858</v>
      </c>
      <c r="B604" t="s">
        <v>35</v>
      </c>
      <c r="C604" s="16" t="str">
        <f t="shared" si="18"/>
        <v>Single</v>
      </c>
      <c r="D604" t="s">
        <v>34</v>
      </c>
      <c r="E604" s="16" t="str">
        <f t="shared" si="19"/>
        <v>Male</v>
      </c>
      <c r="F604" s="1">
        <v>60000</v>
      </c>
      <c r="G604">
        <v>2</v>
      </c>
      <c r="H604" t="s">
        <v>29</v>
      </c>
      <c r="I604" t="s">
        <v>14</v>
      </c>
      <c r="J604" t="s">
        <v>15</v>
      </c>
      <c r="K604">
        <v>2</v>
      </c>
      <c r="L604" t="s">
        <v>23</v>
      </c>
      <c r="M604" t="s">
        <v>32</v>
      </c>
      <c r="N604">
        <v>52</v>
      </c>
      <c r="O604" t="s">
        <v>15</v>
      </c>
    </row>
    <row r="605" spans="1:15" x14ac:dyDescent="0.2">
      <c r="A605">
        <v>20000</v>
      </c>
      <c r="B605" t="s">
        <v>34</v>
      </c>
      <c r="C605" s="16" t="str">
        <f t="shared" si="18"/>
        <v>Married</v>
      </c>
      <c r="D605" t="s">
        <v>34</v>
      </c>
      <c r="E605" s="16" t="str">
        <f t="shared" si="19"/>
        <v>Male</v>
      </c>
      <c r="F605" s="1">
        <v>60000</v>
      </c>
      <c r="G605">
        <v>1</v>
      </c>
      <c r="H605" t="s">
        <v>31</v>
      </c>
      <c r="I605" t="s">
        <v>21</v>
      </c>
      <c r="J605" t="s">
        <v>15</v>
      </c>
      <c r="K605">
        <v>0</v>
      </c>
      <c r="L605" t="s">
        <v>16</v>
      </c>
      <c r="M605" t="s">
        <v>32</v>
      </c>
      <c r="N605">
        <v>35</v>
      </c>
      <c r="O605" t="s">
        <v>15</v>
      </c>
    </row>
    <row r="606" spans="1:15" x14ac:dyDescent="0.2">
      <c r="A606">
        <v>25261</v>
      </c>
      <c r="B606" t="s">
        <v>34</v>
      </c>
      <c r="C606" s="16" t="str">
        <f t="shared" si="18"/>
        <v>Married</v>
      </c>
      <c r="D606" t="s">
        <v>34</v>
      </c>
      <c r="E606" s="16" t="str">
        <f t="shared" si="19"/>
        <v>Male</v>
      </c>
      <c r="F606" s="1">
        <v>40000</v>
      </c>
      <c r="G606">
        <v>0</v>
      </c>
      <c r="H606" t="s">
        <v>27</v>
      </c>
      <c r="I606" t="s">
        <v>14</v>
      </c>
      <c r="J606" t="s">
        <v>15</v>
      </c>
      <c r="K606">
        <v>2</v>
      </c>
      <c r="L606" t="s">
        <v>23</v>
      </c>
      <c r="M606" t="s">
        <v>32</v>
      </c>
      <c r="N606">
        <v>27</v>
      </c>
      <c r="O606" t="s">
        <v>18</v>
      </c>
    </row>
    <row r="607" spans="1:15" x14ac:dyDescent="0.2">
      <c r="A607">
        <v>17458</v>
      </c>
      <c r="B607" t="s">
        <v>35</v>
      </c>
      <c r="C607" s="16" t="str">
        <f t="shared" si="18"/>
        <v>Single</v>
      </c>
      <c r="D607" t="s">
        <v>34</v>
      </c>
      <c r="E607" s="16" t="str">
        <f t="shared" si="19"/>
        <v>Male</v>
      </c>
      <c r="F607" s="1">
        <v>70000</v>
      </c>
      <c r="G607">
        <v>3</v>
      </c>
      <c r="H607" t="s">
        <v>27</v>
      </c>
      <c r="I607" t="s">
        <v>21</v>
      </c>
      <c r="J607" t="s">
        <v>15</v>
      </c>
      <c r="K607">
        <v>0</v>
      </c>
      <c r="L607" t="s">
        <v>23</v>
      </c>
      <c r="M607" t="s">
        <v>32</v>
      </c>
      <c r="N607">
        <v>52</v>
      </c>
      <c r="O607" t="s">
        <v>15</v>
      </c>
    </row>
    <row r="608" spans="1:15" x14ac:dyDescent="0.2">
      <c r="A608">
        <v>11644</v>
      </c>
      <c r="B608" t="s">
        <v>35</v>
      </c>
      <c r="C608" s="16" t="str">
        <f t="shared" si="18"/>
        <v>Single</v>
      </c>
      <c r="D608" t="s">
        <v>34</v>
      </c>
      <c r="E608" s="16" t="str">
        <f t="shared" si="19"/>
        <v>Male</v>
      </c>
      <c r="F608" s="1">
        <v>40000</v>
      </c>
      <c r="G608">
        <v>2</v>
      </c>
      <c r="H608" t="s">
        <v>13</v>
      </c>
      <c r="I608" t="s">
        <v>14</v>
      </c>
      <c r="J608" t="s">
        <v>15</v>
      </c>
      <c r="K608">
        <v>0</v>
      </c>
      <c r="L608" t="s">
        <v>22</v>
      </c>
      <c r="M608" t="s">
        <v>32</v>
      </c>
      <c r="N608">
        <v>36</v>
      </c>
      <c r="O608" t="s">
        <v>18</v>
      </c>
    </row>
    <row r="609" spans="1:15" x14ac:dyDescent="0.2">
      <c r="A609">
        <v>16145</v>
      </c>
      <c r="B609" t="s">
        <v>35</v>
      </c>
      <c r="C609" s="16" t="str">
        <f t="shared" si="18"/>
        <v>Single</v>
      </c>
      <c r="D609" t="s">
        <v>33</v>
      </c>
      <c r="E609" s="16" t="str">
        <f t="shared" si="19"/>
        <v>Female</v>
      </c>
      <c r="F609" s="1">
        <v>70000</v>
      </c>
      <c r="G609">
        <v>5</v>
      </c>
      <c r="H609" t="s">
        <v>31</v>
      </c>
      <c r="I609" t="s">
        <v>21</v>
      </c>
      <c r="J609" t="s">
        <v>15</v>
      </c>
      <c r="K609">
        <v>3</v>
      </c>
      <c r="L609" t="s">
        <v>30</v>
      </c>
      <c r="M609" t="s">
        <v>32</v>
      </c>
      <c r="N609">
        <v>46</v>
      </c>
      <c r="O609" t="s">
        <v>15</v>
      </c>
    </row>
    <row r="610" spans="1:15" x14ac:dyDescent="0.2">
      <c r="A610">
        <v>16890</v>
      </c>
      <c r="B610" t="s">
        <v>34</v>
      </c>
      <c r="C610" s="16" t="str">
        <f t="shared" si="18"/>
        <v>Married</v>
      </c>
      <c r="D610" t="s">
        <v>34</v>
      </c>
      <c r="E610" s="16" t="str">
        <f t="shared" si="19"/>
        <v>Male</v>
      </c>
      <c r="F610" s="1">
        <v>60000</v>
      </c>
      <c r="G610">
        <v>3</v>
      </c>
      <c r="H610" t="s">
        <v>29</v>
      </c>
      <c r="I610" t="s">
        <v>14</v>
      </c>
      <c r="J610" t="s">
        <v>15</v>
      </c>
      <c r="K610">
        <v>2</v>
      </c>
      <c r="L610" t="s">
        <v>23</v>
      </c>
      <c r="M610" t="s">
        <v>32</v>
      </c>
      <c r="N610">
        <v>52</v>
      </c>
      <c r="O610" t="s">
        <v>15</v>
      </c>
    </row>
    <row r="611" spans="1:15" x14ac:dyDescent="0.2">
      <c r="A611">
        <v>25983</v>
      </c>
      <c r="B611" t="s">
        <v>34</v>
      </c>
      <c r="C611" s="16" t="str">
        <f t="shared" si="18"/>
        <v>Married</v>
      </c>
      <c r="D611" t="s">
        <v>34</v>
      </c>
      <c r="E611" s="16" t="str">
        <f t="shared" si="19"/>
        <v>Male</v>
      </c>
      <c r="F611" s="1">
        <v>70000</v>
      </c>
      <c r="G611">
        <v>0</v>
      </c>
      <c r="H611" t="s">
        <v>13</v>
      </c>
      <c r="I611" t="s">
        <v>21</v>
      </c>
      <c r="J611" t="s">
        <v>18</v>
      </c>
      <c r="K611">
        <v>1</v>
      </c>
      <c r="L611" t="s">
        <v>16</v>
      </c>
      <c r="M611" t="s">
        <v>32</v>
      </c>
      <c r="N611">
        <v>43</v>
      </c>
      <c r="O611" t="s">
        <v>18</v>
      </c>
    </row>
    <row r="612" spans="1:15" x14ac:dyDescent="0.2">
      <c r="A612">
        <v>14633</v>
      </c>
      <c r="B612" t="s">
        <v>34</v>
      </c>
      <c r="C612" s="16" t="str">
        <f t="shared" si="18"/>
        <v>Married</v>
      </c>
      <c r="D612" t="s">
        <v>34</v>
      </c>
      <c r="E612" s="16" t="str">
        <f t="shared" si="19"/>
        <v>Male</v>
      </c>
      <c r="F612" s="1">
        <v>60000</v>
      </c>
      <c r="G612">
        <v>1</v>
      </c>
      <c r="H612" t="s">
        <v>19</v>
      </c>
      <c r="I612" t="s">
        <v>14</v>
      </c>
      <c r="J612" t="s">
        <v>15</v>
      </c>
      <c r="K612">
        <v>1</v>
      </c>
      <c r="L612" t="s">
        <v>22</v>
      </c>
      <c r="M612" t="s">
        <v>32</v>
      </c>
      <c r="N612">
        <v>44</v>
      </c>
      <c r="O612" t="s">
        <v>18</v>
      </c>
    </row>
    <row r="613" spans="1:15" x14ac:dyDescent="0.2">
      <c r="A613">
        <v>22994</v>
      </c>
      <c r="B613" t="s">
        <v>34</v>
      </c>
      <c r="C613" s="16" t="str">
        <f t="shared" si="18"/>
        <v>Married</v>
      </c>
      <c r="D613" t="s">
        <v>33</v>
      </c>
      <c r="E613" s="16" t="str">
        <f t="shared" si="19"/>
        <v>Female</v>
      </c>
      <c r="F613" s="1">
        <v>80000</v>
      </c>
      <c r="G613">
        <v>0</v>
      </c>
      <c r="H613" t="s">
        <v>13</v>
      </c>
      <c r="I613" t="s">
        <v>28</v>
      </c>
      <c r="J613" t="s">
        <v>15</v>
      </c>
      <c r="K613">
        <v>1</v>
      </c>
      <c r="L613" t="s">
        <v>26</v>
      </c>
      <c r="M613" t="s">
        <v>32</v>
      </c>
      <c r="N613">
        <v>34</v>
      </c>
      <c r="O613" t="s">
        <v>15</v>
      </c>
    </row>
    <row r="614" spans="1:15" x14ac:dyDescent="0.2">
      <c r="A614">
        <v>22983</v>
      </c>
      <c r="B614" t="s">
        <v>35</v>
      </c>
      <c r="C614" s="16" t="str">
        <f t="shared" si="18"/>
        <v>Single</v>
      </c>
      <c r="D614" t="s">
        <v>33</v>
      </c>
      <c r="E614" s="16" t="str">
        <f t="shared" si="19"/>
        <v>Female</v>
      </c>
      <c r="F614" s="1">
        <v>30000</v>
      </c>
      <c r="G614">
        <v>0</v>
      </c>
      <c r="H614" t="s">
        <v>29</v>
      </c>
      <c r="I614" t="s">
        <v>20</v>
      </c>
      <c r="J614" t="s">
        <v>15</v>
      </c>
      <c r="K614">
        <v>2</v>
      </c>
      <c r="L614" t="s">
        <v>23</v>
      </c>
      <c r="M614" t="s">
        <v>32</v>
      </c>
      <c r="N614">
        <v>27</v>
      </c>
      <c r="O614" t="s">
        <v>18</v>
      </c>
    </row>
    <row r="615" spans="1:15" x14ac:dyDescent="0.2">
      <c r="A615">
        <v>25184</v>
      </c>
      <c r="B615" t="s">
        <v>35</v>
      </c>
      <c r="C615" s="16" t="str">
        <f t="shared" si="18"/>
        <v>Single</v>
      </c>
      <c r="D615" t="s">
        <v>34</v>
      </c>
      <c r="E615" s="16" t="str">
        <f t="shared" si="19"/>
        <v>Male</v>
      </c>
      <c r="F615" s="1">
        <v>110000</v>
      </c>
      <c r="G615">
        <v>1</v>
      </c>
      <c r="H615" t="s">
        <v>19</v>
      </c>
      <c r="I615" t="s">
        <v>21</v>
      </c>
      <c r="J615" t="s">
        <v>15</v>
      </c>
      <c r="K615">
        <v>4</v>
      </c>
      <c r="L615" t="s">
        <v>23</v>
      </c>
      <c r="M615" t="s">
        <v>32</v>
      </c>
      <c r="N615">
        <v>45</v>
      </c>
      <c r="O615" t="s">
        <v>15</v>
      </c>
    </row>
    <row r="616" spans="1:15" x14ac:dyDescent="0.2">
      <c r="A616">
        <v>14469</v>
      </c>
      <c r="B616" t="s">
        <v>34</v>
      </c>
      <c r="C616" s="16" t="str">
        <f t="shared" si="18"/>
        <v>Married</v>
      </c>
      <c r="D616" t="s">
        <v>33</v>
      </c>
      <c r="E616" s="16" t="str">
        <f t="shared" si="19"/>
        <v>Female</v>
      </c>
      <c r="F616" s="1">
        <v>100000</v>
      </c>
      <c r="G616">
        <v>3</v>
      </c>
      <c r="H616" t="s">
        <v>19</v>
      </c>
      <c r="I616" t="s">
        <v>21</v>
      </c>
      <c r="J616" t="s">
        <v>15</v>
      </c>
      <c r="K616">
        <v>4</v>
      </c>
      <c r="L616" t="s">
        <v>26</v>
      </c>
      <c r="M616" t="s">
        <v>32</v>
      </c>
      <c r="N616">
        <v>45</v>
      </c>
      <c r="O616" t="s">
        <v>18</v>
      </c>
    </row>
    <row r="617" spans="1:15" x14ac:dyDescent="0.2">
      <c r="A617">
        <v>11538</v>
      </c>
      <c r="B617" t="s">
        <v>35</v>
      </c>
      <c r="C617" s="16" t="str">
        <f t="shared" si="18"/>
        <v>Single</v>
      </c>
      <c r="D617" t="s">
        <v>33</v>
      </c>
      <c r="E617" s="16" t="str">
        <f t="shared" si="19"/>
        <v>Female</v>
      </c>
      <c r="F617" s="1">
        <v>60000</v>
      </c>
      <c r="G617">
        <v>4</v>
      </c>
      <c r="H617" t="s">
        <v>31</v>
      </c>
      <c r="I617" t="s">
        <v>14</v>
      </c>
      <c r="J617" t="s">
        <v>18</v>
      </c>
      <c r="K617">
        <v>0</v>
      </c>
      <c r="L617" t="s">
        <v>16</v>
      </c>
      <c r="M617" t="s">
        <v>32</v>
      </c>
      <c r="N617">
        <v>47</v>
      </c>
      <c r="O617" t="s">
        <v>15</v>
      </c>
    </row>
    <row r="618" spans="1:15" x14ac:dyDescent="0.2">
      <c r="A618">
        <v>16245</v>
      </c>
      <c r="B618" t="s">
        <v>35</v>
      </c>
      <c r="C618" s="16" t="str">
        <f t="shared" si="18"/>
        <v>Single</v>
      </c>
      <c r="D618" t="s">
        <v>33</v>
      </c>
      <c r="E618" s="16" t="str">
        <f t="shared" si="19"/>
        <v>Female</v>
      </c>
      <c r="F618" s="1">
        <v>80000</v>
      </c>
      <c r="G618">
        <v>4</v>
      </c>
      <c r="H618" t="s">
        <v>31</v>
      </c>
      <c r="I618" t="s">
        <v>14</v>
      </c>
      <c r="J618" t="s">
        <v>15</v>
      </c>
      <c r="K618">
        <v>0</v>
      </c>
      <c r="L618" t="s">
        <v>26</v>
      </c>
      <c r="M618" t="s">
        <v>32</v>
      </c>
      <c r="N618">
        <v>47</v>
      </c>
      <c r="O618" t="s">
        <v>18</v>
      </c>
    </row>
    <row r="619" spans="1:15" x14ac:dyDescent="0.2">
      <c r="A619">
        <v>17858</v>
      </c>
      <c r="B619" t="s">
        <v>34</v>
      </c>
      <c r="C619" s="16" t="str">
        <f t="shared" si="18"/>
        <v>Married</v>
      </c>
      <c r="D619" t="s">
        <v>34</v>
      </c>
      <c r="E619" s="16" t="str">
        <f t="shared" si="19"/>
        <v>Male</v>
      </c>
      <c r="F619" s="1">
        <v>40000</v>
      </c>
      <c r="G619">
        <v>4</v>
      </c>
      <c r="H619" t="s">
        <v>27</v>
      </c>
      <c r="I619" t="s">
        <v>14</v>
      </c>
      <c r="J619" t="s">
        <v>15</v>
      </c>
      <c r="K619">
        <v>2</v>
      </c>
      <c r="L619" t="s">
        <v>22</v>
      </c>
      <c r="M619" t="s">
        <v>32</v>
      </c>
      <c r="N619">
        <v>44</v>
      </c>
      <c r="O619" t="s">
        <v>15</v>
      </c>
    </row>
    <row r="620" spans="1:15" x14ac:dyDescent="0.2">
      <c r="A620">
        <v>25347</v>
      </c>
      <c r="B620" t="s">
        <v>35</v>
      </c>
      <c r="C620" s="16" t="str">
        <f t="shared" si="18"/>
        <v>Single</v>
      </c>
      <c r="D620" t="s">
        <v>33</v>
      </c>
      <c r="E620" s="16" t="str">
        <f t="shared" si="19"/>
        <v>Female</v>
      </c>
      <c r="F620" s="1">
        <v>20000</v>
      </c>
      <c r="G620">
        <v>3</v>
      </c>
      <c r="H620" t="s">
        <v>29</v>
      </c>
      <c r="I620" t="s">
        <v>20</v>
      </c>
      <c r="J620" t="s">
        <v>18</v>
      </c>
      <c r="K620">
        <v>2</v>
      </c>
      <c r="L620" t="s">
        <v>16</v>
      </c>
      <c r="M620" t="s">
        <v>32</v>
      </c>
      <c r="N620">
        <v>49</v>
      </c>
      <c r="O620" t="s">
        <v>18</v>
      </c>
    </row>
    <row r="621" spans="1:15" x14ac:dyDescent="0.2">
      <c r="A621">
        <v>15814</v>
      </c>
      <c r="B621" t="s">
        <v>35</v>
      </c>
      <c r="C621" s="16" t="str">
        <f t="shared" si="18"/>
        <v>Single</v>
      </c>
      <c r="D621" t="s">
        <v>33</v>
      </c>
      <c r="E621" s="16" t="str">
        <f t="shared" si="19"/>
        <v>Female</v>
      </c>
      <c r="F621" s="1">
        <v>40000</v>
      </c>
      <c r="G621">
        <v>0</v>
      </c>
      <c r="H621" t="s">
        <v>27</v>
      </c>
      <c r="I621" t="s">
        <v>14</v>
      </c>
      <c r="J621" t="s">
        <v>15</v>
      </c>
      <c r="K621">
        <v>1</v>
      </c>
      <c r="L621" t="s">
        <v>23</v>
      </c>
      <c r="M621" t="s">
        <v>32</v>
      </c>
      <c r="N621">
        <v>30</v>
      </c>
      <c r="O621" t="s">
        <v>18</v>
      </c>
    </row>
    <row r="622" spans="1:15" x14ac:dyDescent="0.2">
      <c r="A622">
        <v>11259</v>
      </c>
      <c r="B622" t="s">
        <v>34</v>
      </c>
      <c r="C622" s="16" t="str">
        <f t="shared" si="18"/>
        <v>Married</v>
      </c>
      <c r="D622" t="s">
        <v>33</v>
      </c>
      <c r="E622" s="16" t="str">
        <f t="shared" si="19"/>
        <v>Female</v>
      </c>
      <c r="F622" s="1">
        <v>100000</v>
      </c>
      <c r="G622">
        <v>4</v>
      </c>
      <c r="H622" t="s">
        <v>19</v>
      </c>
      <c r="I622" t="s">
        <v>21</v>
      </c>
      <c r="J622" t="s">
        <v>15</v>
      </c>
      <c r="K622">
        <v>4</v>
      </c>
      <c r="L622" t="s">
        <v>22</v>
      </c>
      <c r="M622" t="s">
        <v>32</v>
      </c>
      <c r="N622">
        <v>41</v>
      </c>
      <c r="O622" t="s">
        <v>15</v>
      </c>
    </row>
    <row r="623" spans="1:15" x14ac:dyDescent="0.2">
      <c r="A623">
        <v>11200</v>
      </c>
      <c r="B623" t="s">
        <v>34</v>
      </c>
      <c r="C623" s="16" t="str">
        <f t="shared" si="18"/>
        <v>Married</v>
      </c>
      <c r="D623" t="s">
        <v>34</v>
      </c>
      <c r="E623" s="16" t="str">
        <f t="shared" si="19"/>
        <v>Male</v>
      </c>
      <c r="F623" s="1">
        <v>70000</v>
      </c>
      <c r="G623">
        <v>4</v>
      </c>
      <c r="H623" t="s">
        <v>13</v>
      </c>
      <c r="I623" t="s">
        <v>28</v>
      </c>
      <c r="J623" t="s">
        <v>15</v>
      </c>
      <c r="K623">
        <v>1</v>
      </c>
      <c r="L623" t="s">
        <v>26</v>
      </c>
      <c r="M623" t="s">
        <v>32</v>
      </c>
      <c r="N623">
        <v>58</v>
      </c>
      <c r="O623" t="s">
        <v>18</v>
      </c>
    </row>
    <row r="624" spans="1:15" x14ac:dyDescent="0.2">
      <c r="A624">
        <v>25101</v>
      </c>
      <c r="B624" t="s">
        <v>34</v>
      </c>
      <c r="C624" s="16" t="str">
        <f t="shared" si="18"/>
        <v>Married</v>
      </c>
      <c r="D624" t="s">
        <v>34</v>
      </c>
      <c r="E624" s="16" t="str">
        <f t="shared" si="19"/>
        <v>Male</v>
      </c>
      <c r="F624" s="1">
        <v>60000</v>
      </c>
      <c r="G624">
        <v>5</v>
      </c>
      <c r="H624" t="s">
        <v>13</v>
      </c>
      <c r="I624" t="s">
        <v>21</v>
      </c>
      <c r="J624" t="s">
        <v>15</v>
      </c>
      <c r="K624">
        <v>1</v>
      </c>
      <c r="L624" t="s">
        <v>22</v>
      </c>
      <c r="M624" t="s">
        <v>32</v>
      </c>
      <c r="N624">
        <v>47</v>
      </c>
      <c r="O624" t="s">
        <v>18</v>
      </c>
    </row>
    <row r="625" spans="1:15" x14ac:dyDescent="0.2">
      <c r="A625">
        <v>21801</v>
      </c>
      <c r="B625" t="s">
        <v>34</v>
      </c>
      <c r="C625" s="16" t="str">
        <f t="shared" si="18"/>
        <v>Married</v>
      </c>
      <c r="D625" t="s">
        <v>33</v>
      </c>
      <c r="E625" s="16" t="str">
        <f t="shared" si="19"/>
        <v>Female</v>
      </c>
      <c r="F625" s="1">
        <v>70000</v>
      </c>
      <c r="G625">
        <v>4</v>
      </c>
      <c r="H625" t="s">
        <v>19</v>
      </c>
      <c r="I625" t="s">
        <v>21</v>
      </c>
      <c r="J625" t="s">
        <v>15</v>
      </c>
      <c r="K625">
        <v>1</v>
      </c>
      <c r="L625" t="s">
        <v>26</v>
      </c>
      <c r="M625" t="s">
        <v>32</v>
      </c>
      <c r="N625">
        <v>55</v>
      </c>
      <c r="O625" t="s">
        <v>18</v>
      </c>
    </row>
    <row r="626" spans="1:15" x14ac:dyDescent="0.2">
      <c r="A626">
        <v>25943</v>
      </c>
      <c r="B626" t="s">
        <v>35</v>
      </c>
      <c r="C626" s="16" t="str">
        <f t="shared" si="18"/>
        <v>Single</v>
      </c>
      <c r="D626" t="s">
        <v>33</v>
      </c>
      <c r="E626" s="16" t="str">
        <f t="shared" si="19"/>
        <v>Female</v>
      </c>
      <c r="F626" s="1">
        <v>70000</v>
      </c>
      <c r="G626">
        <v>0</v>
      </c>
      <c r="H626" t="s">
        <v>19</v>
      </c>
      <c r="I626" t="s">
        <v>14</v>
      </c>
      <c r="J626" t="s">
        <v>18</v>
      </c>
      <c r="K626">
        <v>2</v>
      </c>
      <c r="L626" t="s">
        <v>16</v>
      </c>
      <c r="M626" t="s">
        <v>32</v>
      </c>
      <c r="N626">
        <v>27</v>
      </c>
      <c r="O626" t="s">
        <v>15</v>
      </c>
    </row>
    <row r="627" spans="1:15" x14ac:dyDescent="0.2">
      <c r="A627">
        <v>22127</v>
      </c>
      <c r="B627" t="s">
        <v>34</v>
      </c>
      <c r="C627" s="16" t="str">
        <f t="shared" si="18"/>
        <v>Married</v>
      </c>
      <c r="D627" t="s">
        <v>34</v>
      </c>
      <c r="E627" s="16" t="str">
        <f t="shared" si="19"/>
        <v>Male</v>
      </c>
      <c r="F627" s="1">
        <v>60000</v>
      </c>
      <c r="G627">
        <v>3</v>
      </c>
      <c r="H627" t="s">
        <v>31</v>
      </c>
      <c r="I627" t="s">
        <v>28</v>
      </c>
      <c r="J627" t="s">
        <v>15</v>
      </c>
      <c r="K627">
        <v>2</v>
      </c>
      <c r="L627" t="s">
        <v>26</v>
      </c>
      <c r="M627" t="s">
        <v>32</v>
      </c>
      <c r="N627">
        <v>67</v>
      </c>
      <c r="O627" t="s">
        <v>18</v>
      </c>
    </row>
    <row r="628" spans="1:15" x14ac:dyDescent="0.2">
      <c r="A628">
        <v>20414</v>
      </c>
      <c r="B628" t="s">
        <v>34</v>
      </c>
      <c r="C628" s="16" t="str">
        <f t="shared" si="18"/>
        <v>Married</v>
      </c>
      <c r="D628" t="s">
        <v>33</v>
      </c>
      <c r="E628" s="16" t="str">
        <f t="shared" si="19"/>
        <v>Female</v>
      </c>
      <c r="F628" s="1">
        <v>60000</v>
      </c>
      <c r="G628">
        <v>0</v>
      </c>
      <c r="H628" t="s">
        <v>19</v>
      </c>
      <c r="I628" t="s">
        <v>14</v>
      </c>
      <c r="J628" t="s">
        <v>15</v>
      </c>
      <c r="K628">
        <v>2</v>
      </c>
      <c r="L628" t="s">
        <v>23</v>
      </c>
      <c r="M628" t="s">
        <v>32</v>
      </c>
      <c r="N628">
        <v>29</v>
      </c>
      <c r="O628" t="s">
        <v>18</v>
      </c>
    </row>
    <row r="629" spans="1:15" x14ac:dyDescent="0.2">
      <c r="A629">
        <v>23672</v>
      </c>
      <c r="B629" t="s">
        <v>34</v>
      </c>
      <c r="C629" s="16" t="str">
        <f t="shared" si="18"/>
        <v>Married</v>
      </c>
      <c r="D629" t="s">
        <v>33</v>
      </c>
      <c r="E629" s="16" t="str">
        <f t="shared" si="19"/>
        <v>Female</v>
      </c>
      <c r="F629" s="1">
        <v>60000</v>
      </c>
      <c r="G629">
        <v>3</v>
      </c>
      <c r="H629" t="s">
        <v>31</v>
      </c>
      <c r="I629" t="s">
        <v>28</v>
      </c>
      <c r="J629" t="s">
        <v>15</v>
      </c>
      <c r="K629">
        <v>2</v>
      </c>
      <c r="L629" t="s">
        <v>26</v>
      </c>
      <c r="M629" t="s">
        <v>32</v>
      </c>
      <c r="N629">
        <v>67</v>
      </c>
      <c r="O629" t="s">
        <v>18</v>
      </c>
    </row>
    <row r="630" spans="1:15" x14ac:dyDescent="0.2">
      <c r="A630">
        <v>29255</v>
      </c>
      <c r="B630" t="s">
        <v>35</v>
      </c>
      <c r="C630" s="16" t="str">
        <f t="shared" si="18"/>
        <v>Single</v>
      </c>
      <c r="D630" t="s">
        <v>34</v>
      </c>
      <c r="E630" s="16" t="str">
        <f t="shared" si="19"/>
        <v>Male</v>
      </c>
      <c r="F630" s="1">
        <v>80000</v>
      </c>
      <c r="G630">
        <v>3</v>
      </c>
      <c r="H630" t="s">
        <v>19</v>
      </c>
      <c r="I630" t="s">
        <v>21</v>
      </c>
      <c r="J630" t="s">
        <v>18</v>
      </c>
      <c r="K630">
        <v>1</v>
      </c>
      <c r="L630" t="s">
        <v>26</v>
      </c>
      <c r="M630" t="s">
        <v>32</v>
      </c>
      <c r="N630">
        <v>51</v>
      </c>
      <c r="O630" t="s">
        <v>15</v>
      </c>
    </row>
    <row r="631" spans="1:15" x14ac:dyDescent="0.2">
      <c r="A631">
        <v>28815</v>
      </c>
      <c r="B631" t="s">
        <v>34</v>
      </c>
      <c r="C631" s="16" t="str">
        <f t="shared" si="18"/>
        <v>Married</v>
      </c>
      <c r="D631" t="s">
        <v>33</v>
      </c>
      <c r="E631" s="16" t="str">
        <f t="shared" si="19"/>
        <v>Female</v>
      </c>
      <c r="F631" s="1">
        <v>50000</v>
      </c>
      <c r="G631">
        <v>1</v>
      </c>
      <c r="H631" t="s">
        <v>31</v>
      </c>
      <c r="I631" t="s">
        <v>14</v>
      </c>
      <c r="J631" t="s">
        <v>15</v>
      </c>
      <c r="K631">
        <v>0</v>
      </c>
      <c r="L631" t="s">
        <v>16</v>
      </c>
      <c r="M631" t="s">
        <v>32</v>
      </c>
      <c r="N631">
        <v>35</v>
      </c>
      <c r="O631" t="s">
        <v>18</v>
      </c>
    </row>
    <row r="632" spans="1:15" x14ac:dyDescent="0.2">
      <c r="A632">
        <v>27753</v>
      </c>
      <c r="B632" t="s">
        <v>34</v>
      </c>
      <c r="C632" s="16" t="str">
        <f t="shared" si="18"/>
        <v>Married</v>
      </c>
      <c r="D632" t="s">
        <v>34</v>
      </c>
      <c r="E632" s="16" t="str">
        <f t="shared" si="19"/>
        <v>Male</v>
      </c>
      <c r="F632" s="1">
        <v>40000</v>
      </c>
      <c r="G632">
        <v>0</v>
      </c>
      <c r="H632" t="s">
        <v>27</v>
      </c>
      <c r="I632" t="s">
        <v>14</v>
      </c>
      <c r="J632" t="s">
        <v>18</v>
      </c>
      <c r="K632">
        <v>2</v>
      </c>
      <c r="L632" t="s">
        <v>26</v>
      </c>
      <c r="M632" t="s">
        <v>32</v>
      </c>
      <c r="N632">
        <v>30</v>
      </c>
      <c r="O632" t="s">
        <v>18</v>
      </c>
    </row>
    <row r="633" spans="1:15" x14ac:dyDescent="0.2">
      <c r="A633">
        <v>27643</v>
      </c>
      <c r="B633" t="s">
        <v>35</v>
      </c>
      <c r="C633" s="16" t="str">
        <f t="shared" si="18"/>
        <v>Single</v>
      </c>
      <c r="D633" t="s">
        <v>34</v>
      </c>
      <c r="E633" s="16" t="str">
        <f t="shared" si="19"/>
        <v>Male</v>
      </c>
      <c r="F633" s="1">
        <v>70000</v>
      </c>
      <c r="G633">
        <v>5</v>
      </c>
      <c r="H633" t="s">
        <v>19</v>
      </c>
      <c r="I633" t="s">
        <v>21</v>
      </c>
      <c r="J633" t="s">
        <v>15</v>
      </c>
      <c r="K633">
        <v>3</v>
      </c>
      <c r="L633" t="s">
        <v>22</v>
      </c>
      <c r="M633" t="s">
        <v>32</v>
      </c>
      <c r="N633">
        <v>44</v>
      </c>
      <c r="O633" t="s">
        <v>18</v>
      </c>
    </row>
    <row r="634" spans="1:15" x14ac:dyDescent="0.2">
      <c r="A634">
        <v>13754</v>
      </c>
      <c r="B634" t="s">
        <v>35</v>
      </c>
      <c r="C634" s="16" t="str">
        <f t="shared" si="18"/>
        <v>Single</v>
      </c>
      <c r="D634" t="s">
        <v>33</v>
      </c>
      <c r="E634" s="16" t="str">
        <f t="shared" si="19"/>
        <v>Female</v>
      </c>
      <c r="F634" s="1">
        <v>80000</v>
      </c>
      <c r="G634">
        <v>4</v>
      </c>
      <c r="H634" t="s">
        <v>31</v>
      </c>
      <c r="I634" t="s">
        <v>14</v>
      </c>
      <c r="J634" t="s">
        <v>15</v>
      </c>
      <c r="K634">
        <v>0</v>
      </c>
      <c r="L634" t="s">
        <v>26</v>
      </c>
      <c r="M634" t="s">
        <v>32</v>
      </c>
      <c r="N634">
        <v>48</v>
      </c>
      <c r="O634" t="s">
        <v>18</v>
      </c>
    </row>
    <row r="635" spans="1:15" x14ac:dyDescent="0.2">
      <c r="A635">
        <v>22088</v>
      </c>
      <c r="B635" t="s">
        <v>34</v>
      </c>
      <c r="C635" s="16" t="str">
        <f t="shared" si="18"/>
        <v>Married</v>
      </c>
      <c r="D635" t="s">
        <v>33</v>
      </c>
      <c r="E635" s="16" t="str">
        <f t="shared" si="19"/>
        <v>Female</v>
      </c>
      <c r="F635" s="1">
        <v>130000</v>
      </c>
      <c r="G635">
        <v>1</v>
      </c>
      <c r="H635" t="s">
        <v>13</v>
      </c>
      <c r="I635" t="s">
        <v>28</v>
      </c>
      <c r="J635" t="s">
        <v>15</v>
      </c>
      <c r="K635">
        <v>2</v>
      </c>
      <c r="L635" t="s">
        <v>16</v>
      </c>
      <c r="M635" t="s">
        <v>32</v>
      </c>
      <c r="N635">
        <v>45</v>
      </c>
      <c r="O635" t="s">
        <v>15</v>
      </c>
    </row>
    <row r="636" spans="1:15" x14ac:dyDescent="0.2">
      <c r="A636">
        <v>27388</v>
      </c>
      <c r="B636" t="s">
        <v>34</v>
      </c>
      <c r="C636" s="16" t="str">
        <f t="shared" si="18"/>
        <v>Married</v>
      </c>
      <c r="D636" t="s">
        <v>34</v>
      </c>
      <c r="E636" s="16" t="str">
        <f t="shared" si="19"/>
        <v>Male</v>
      </c>
      <c r="F636" s="1">
        <v>60000</v>
      </c>
      <c r="G636">
        <v>3</v>
      </c>
      <c r="H636" t="s">
        <v>13</v>
      </c>
      <c r="I636" t="s">
        <v>28</v>
      </c>
      <c r="J636" t="s">
        <v>18</v>
      </c>
      <c r="K636">
        <v>2</v>
      </c>
      <c r="L636" t="s">
        <v>26</v>
      </c>
      <c r="M636" t="s">
        <v>32</v>
      </c>
      <c r="N636">
        <v>66</v>
      </c>
      <c r="O636" t="s">
        <v>18</v>
      </c>
    </row>
    <row r="637" spans="1:15" x14ac:dyDescent="0.2">
      <c r="A637">
        <v>24745</v>
      </c>
      <c r="B637" t="s">
        <v>35</v>
      </c>
      <c r="C637" s="16" t="str">
        <f t="shared" si="18"/>
        <v>Single</v>
      </c>
      <c r="D637" t="s">
        <v>33</v>
      </c>
      <c r="E637" s="16" t="str">
        <f t="shared" si="19"/>
        <v>Female</v>
      </c>
      <c r="F637" s="1">
        <v>30000</v>
      </c>
      <c r="G637">
        <v>2</v>
      </c>
      <c r="H637" t="s">
        <v>27</v>
      </c>
      <c r="I637" t="s">
        <v>14</v>
      </c>
      <c r="J637" t="s">
        <v>18</v>
      </c>
      <c r="K637">
        <v>2</v>
      </c>
      <c r="L637" t="s">
        <v>16</v>
      </c>
      <c r="M637" t="s">
        <v>32</v>
      </c>
      <c r="N637">
        <v>49</v>
      </c>
      <c r="O637" t="s">
        <v>18</v>
      </c>
    </row>
    <row r="638" spans="1:15" x14ac:dyDescent="0.2">
      <c r="A638">
        <v>29237</v>
      </c>
      <c r="B638" t="s">
        <v>35</v>
      </c>
      <c r="C638" s="16" t="str">
        <f t="shared" si="18"/>
        <v>Single</v>
      </c>
      <c r="D638" t="s">
        <v>33</v>
      </c>
      <c r="E638" s="16" t="str">
        <f t="shared" si="19"/>
        <v>Female</v>
      </c>
      <c r="F638" s="1">
        <v>120000</v>
      </c>
      <c r="G638">
        <v>4</v>
      </c>
      <c r="H638" t="s">
        <v>19</v>
      </c>
      <c r="I638" t="s">
        <v>21</v>
      </c>
      <c r="J638" t="s">
        <v>15</v>
      </c>
      <c r="K638">
        <v>3</v>
      </c>
      <c r="L638" t="s">
        <v>23</v>
      </c>
      <c r="M638" t="s">
        <v>32</v>
      </c>
      <c r="N638">
        <v>43</v>
      </c>
      <c r="O638" t="s">
        <v>15</v>
      </c>
    </row>
    <row r="639" spans="1:15" x14ac:dyDescent="0.2">
      <c r="A639">
        <v>15272</v>
      </c>
      <c r="B639" t="s">
        <v>35</v>
      </c>
      <c r="C639" s="16" t="str">
        <f t="shared" si="18"/>
        <v>Single</v>
      </c>
      <c r="D639" t="s">
        <v>34</v>
      </c>
      <c r="E639" s="16" t="str">
        <f t="shared" si="19"/>
        <v>Male</v>
      </c>
      <c r="F639" s="1">
        <v>40000</v>
      </c>
      <c r="G639">
        <v>0</v>
      </c>
      <c r="H639" t="s">
        <v>27</v>
      </c>
      <c r="I639" t="s">
        <v>14</v>
      </c>
      <c r="J639" t="s">
        <v>18</v>
      </c>
      <c r="K639">
        <v>2</v>
      </c>
      <c r="L639" t="s">
        <v>26</v>
      </c>
      <c r="M639" t="s">
        <v>32</v>
      </c>
      <c r="N639">
        <v>30</v>
      </c>
      <c r="O639" t="s">
        <v>18</v>
      </c>
    </row>
    <row r="640" spans="1:15" x14ac:dyDescent="0.2">
      <c r="A640">
        <v>18949</v>
      </c>
      <c r="B640" t="s">
        <v>35</v>
      </c>
      <c r="C640" s="16" t="str">
        <f t="shared" si="18"/>
        <v>Single</v>
      </c>
      <c r="D640" t="s">
        <v>34</v>
      </c>
      <c r="E640" s="16" t="str">
        <f t="shared" si="19"/>
        <v>Male</v>
      </c>
      <c r="F640" s="1">
        <v>70000</v>
      </c>
      <c r="G640">
        <v>0</v>
      </c>
      <c r="H640" t="s">
        <v>31</v>
      </c>
      <c r="I640" t="s">
        <v>28</v>
      </c>
      <c r="J640" t="s">
        <v>15</v>
      </c>
      <c r="K640">
        <v>2</v>
      </c>
      <c r="L640" t="s">
        <v>23</v>
      </c>
      <c r="M640" t="s">
        <v>32</v>
      </c>
      <c r="N640">
        <v>74</v>
      </c>
      <c r="O640" t="s">
        <v>15</v>
      </c>
    </row>
    <row r="641" spans="1:15" x14ac:dyDescent="0.2">
      <c r="A641">
        <v>14507</v>
      </c>
      <c r="B641" t="s">
        <v>34</v>
      </c>
      <c r="C641" s="16" t="str">
        <f t="shared" si="18"/>
        <v>Married</v>
      </c>
      <c r="D641" t="s">
        <v>34</v>
      </c>
      <c r="E641" s="16" t="str">
        <f t="shared" si="19"/>
        <v>Male</v>
      </c>
      <c r="F641" s="1">
        <v>100000</v>
      </c>
      <c r="G641">
        <v>2</v>
      </c>
      <c r="H641" t="s">
        <v>31</v>
      </c>
      <c r="I641" t="s">
        <v>28</v>
      </c>
      <c r="J641" t="s">
        <v>15</v>
      </c>
      <c r="K641">
        <v>3</v>
      </c>
      <c r="L641" t="s">
        <v>26</v>
      </c>
      <c r="M641" t="s">
        <v>32</v>
      </c>
      <c r="N641">
        <v>65</v>
      </c>
      <c r="O641" t="s">
        <v>18</v>
      </c>
    </row>
    <row r="642" spans="1:15" x14ac:dyDescent="0.2">
      <c r="A642">
        <v>25886</v>
      </c>
      <c r="B642" t="s">
        <v>34</v>
      </c>
      <c r="C642" s="16" t="str">
        <f t="shared" ref="C642:C705" si="20">IF(B642="M","Married","Single")</f>
        <v>Married</v>
      </c>
      <c r="D642" t="s">
        <v>33</v>
      </c>
      <c r="E642" s="16" t="str">
        <f t="shared" ref="E642:E705" si="21">IF(D642="F","Female","Male")</f>
        <v>Female</v>
      </c>
      <c r="F642" s="1">
        <v>60000</v>
      </c>
      <c r="G642">
        <v>2</v>
      </c>
      <c r="H642" t="s">
        <v>19</v>
      </c>
      <c r="I642" t="s">
        <v>21</v>
      </c>
      <c r="J642" t="s">
        <v>15</v>
      </c>
      <c r="K642">
        <v>2</v>
      </c>
      <c r="L642" t="s">
        <v>22</v>
      </c>
      <c r="M642" t="s">
        <v>32</v>
      </c>
      <c r="N642">
        <v>56</v>
      </c>
      <c r="O642" t="s">
        <v>15</v>
      </c>
    </row>
    <row r="643" spans="1:15" x14ac:dyDescent="0.2">
      <c r="A643">
        <v>21441</v>
      </c>
      <c r="B643" t="s">
        <v>34</v>
      </c>
      <c r="C643" s="16" t="str">
        <f t="shared" si="20"/>
        <v>Married</v>
      </c>
      <c r="D643" t="s">
        <v>34</v>
      </c>
      <c r="E643" s="16" t="str">
        <f t="shared" si="21"/>
        <v>Male</v>
      </c>
      <c r="F643" s="1">
        <v>50000</v>
      </c>
      <c r="G643">
        <v>4</v>
      </c>
      <c r="H643" t="s">
        <v>13</v>
      </c>
      <c r="I643" t="s">
        <v>28</v>
      </c>
      <c r="J643" t="s">
        <v>15</v>
      </c>
      <c r="K643">
        <v>2</v>
      </c>
      <c r="L643" t="s">
        <v>30</v>
      </c>
      <c r="M643" t="s">
        <v>32</v>
      </c>
      <c r="N643">
        <v>64</v>
      </c>
      <c r="O643" t="s">
        <v>18</v>
      </c>
    </row>
    <row r="644" spans="1:15" x14ac:dyDescent="0.2">
      <c r="A644">
        <v>21741</v>
      </c>
      <c r="B644" t="s">
        <v>34</v>
      </c>
      <c r="C644" s="16" t="str">
        <f t="shared" si="20"/>
        <v>Married</v>
      </c>
      <c r="D644" t="s">
        <v>33</v>
      </c>
      <c r="E644" s="16" t="str">
        <f t="shared" si="21"/>
        <v>Female</v>
      </c>
      <c r="F644" s="1">
        <v>70000</v>
      </c>
      <c r="G644">
        <v>3</v>
      </c>
      <c r="H644" t="s">
        <v>19</v>
      </c>
      <c r="I644" t="s">
        <v>21</v>
      </c>
      <c r="J644" t="s">
        <v>15</v>
      </c>
      <c r="K644">
        <v>2</v>
      </c>
      <c r="L644" t="s">
        <v>23</v>
      </c>
      <c r="M644" t="s">
        <v>32</v>
      </c>
      <c r="N644">
        <v>50</v>
      </c>
      <c r="O644" t="s">
        <v>15</v>
      </c>
    </row>
    <row r="645" spans="1:15" x14ac:dyDescent="0.2">
      <c r="A645">
        <v>14572</v>
      </c>
      <c r="B645" t="s">
        <v>34</v>
      </c>
      <c r="C645" s="16" t="str">
        <f t="shared" si="20"/>
        <v>Married</v>
      </c>
      <c r="D645" t="s">
        <v>33</v>
      </c>
      <c r="E645" s="16" t="str">
        <f t="shared" si="21"/>
        <v>Female</v>
      </c>
      <c r="F645" s="1">
        <v>70000</v>
      </c>
      <c r="G645">
        <v>3</v>
      </c>
      <c r="H645" t="s">
        <v>31</v>
      </c>
      <c r="I645" t="s">
        <v>21</v>
      </c>
      <c r="J645" t="s">
        <v>15</v>
      </c>
      <c r="K645">
        <v>0</v>
      </c>
      <c r="L645" t="s">
        <v>22</v>
      </c>
      <c r="M645" t="s">
        <v>32</v>
      </c>
      <c r="N645">
        <v>35</v>
      </c>
      <c r="O645" t="s">
        <v>15</v>
      </c>
    </row>
    <row r="646" spans="1:15" x14ac:dyDescent="0.2">
      <c r="A646">
        <v>23368</v>
      </c>
      <c r="B646" t="s">
        <v>34</v>
      </c>
      <c r="C646" s="16" t="str">
        <f t="shared" si="20"/>
        <v>Married</v>
      </c>
      <c r="D646" t="s">
        <v>33</v>
      </c>
      <c r="E646" s="16" t="str">
        <f t="shared" si="21"/>
        <v>Female</v>
      </c>
      <c r="F646" s="1">
        <v>60000</v>
      </c>
      <c r="G646">
        <v>5</v>
      </c>
      <c r="H646" t="s">
        <v>13</v>
      </c>
      <c r="I646" t="s">
        <v>14</v>
      </c>
      <c r="J646" t="s">
        <v>15</v>
      </c>
      <c r="K646">
        <v>3</v>
      </c>
      <c r="L646" t="s">
        <v>30</v>
      </c>
      <c r="M646" t="s">
        <v>32</v>
      </c>
      <c r="N646">
        <v>41</v>
      </c>
      <c r="O646" t="s">
        <v>18</v>
      </c>
    </row>
    <row r="647" spans="1:15" x14ac:dyDescent="0.2">
      <c r="A647">
        <v>16217</v>
      </c>
      <c r="B647" t="s">
        <v>35</v>
      </c>
      <c r="C647" s="16" t="str">
        <f t="shared" si="20"/>
        <v>Single</v>
      </c>
      <c r="D647" t="s">
        <v>33</v>
      </c>
      <c r="E647" s="16" t="str">
        <f t="shared" si="21"/>
        <v>Female</v>
      </c>
      <c r="F647" s="1">
        <v>60000</v>
      </c>
      <c r="G647">
        <v>0</v>
      </c>
      <c r="H647" t="s">
        <v>31</v>
      </c>
      <c r="I647" t="s">
        <v>14</v>
      </c>
      <c r="J647" t="s">
        <v>15</v>
      </c>
      <c r="K647">
        <v>0</v>
      </c>
      <c r="L647" t="s">
        <v>16</v>
      </c>
      <c r="M647" t="s">
        <v>32</v>
      </c>
      <c r="N647">
        <v>39</v>
      </c>
      <c r="O647" t="s">
        <v>18</v>
      </c>
    </row>
    <row r="648" spans="1:15" x14ac:dyDescent="0.2">
      <c r="A648">
        <v>16247</v>
      </c>
      <c r="B648" t="s">
        <v>35</v>
      </c>
      <c r="C648" s="16" t="str">
        <f t="shared" si="20"/>
        <v>Single</v>
      </c>
      <c r="D648" t="s">
        <v>33</v>
      </c>
      <c r="E648" s="16" t="str">
        <f t="shared" si="21"/>
        <v>Female</v>
      </c>
      <c r="F648" s="1">
        <v>60000</v>
      </c>
      <c r="G648">
        <v>4</v>
      </c>
      <c r="H648" t="s">
        <v>31</v>
      </c>
      <c r="I648" t="s">
        <v>14</v>
      </c>
      <c r="J648" t="s">
        <v>18</v>
      </c>
      <c r="K648">
        <v>0</v>
      </c>
      <c r="L648" t="s">
        <v>26</v>
      </c>
      <c r="M648" t="s">
        <v>32</v>
      </c>
      <c r="N648">
        <v>47</v>
      </c>
      <c r="O648" t="s">
        <v>18</v>
      </c>
    </row>
    <row r="649" spans="1:15" x14ac:dyDescent="0.2">
      <c r="A649">
        <v>22010</v>
      </c>
      <c r="B649" t="s">
        <v>35</v>
      </c>
      <c r="C649" s="16" t="str">
        <f t="shared" si="20"/>
        <v>Single</v>
      </c>
      <c r="D649" t="s">
        <v>34</v>
      </c>
      <c r="E649" s="16" t="str">
        <f t="shared" si="21"/>
        <v>Male</v>
      </c>
      <c r="F649" s="1">
        <v>40000</v>
      </c>
      <c r="G649">
        <v>0</v>
      </c>
      <c r="H649" t="s">
        <v>27</v>
      </c>
      <c r="I649" t="s">
        <v>14</v>
      </c>
      <c r="J649" t="s">
        <v>15</v>
      </c>
      <c r="K649">
        <v>2</v>
      </c>
      <c r="L649" t="s">
        <v>23</v>
      </c>
      <c r="M649" t="s">
        <v>32</v>
      </c>
      <c r="N649">
        <v>31</v>
      </c>
      <c r="O649" t="s">
        <v>18</v>
      </c>
    </row>
    <row r="650" spans="1:15" x14ac:dyDescent="0.2">
      <c r="A650">
        <v>25872</v>
      </c>
      <c r="B650" t="s">
        <v>35</v>
      </c>
      <c r="C650" s="16" t="str">
        <f t="shared" si="20"/>
        <v>Single</v>
      </c>
      <c r="D650" t="s">
        <v>33</v>
      </c>
      <c r="E650" s="16" t="str">
        <f t="shared" si="21"/>
        <v>Female</v>
      </c>
      <c r="F650" s="1">
        <v>70000</v>
      </c>
      <c r="G650">
        <v>2</v>
      </c>
      <c r="H650" t="s">
        <v>13</v>
      </c>
      <c r="I650" t="s">
        <v>28</v>
      </c>
      <c r="J650" t="s">
        <v>18</v>
      </c>
      <c r="K650">
        <v>1</v>
      </c>
      <c r="L650" t="s">
        <v>22</v>
      </c>
      <c r="M650" t="s">
        <v>32</v>
      </c>
      <c r="N650">
        <v>58</v>
      </c>
      <c r="O650" t="s">
        <v>15</v>
      </c>
    </row>
    <row r="651" spans="1:15" x14ac:dyDescent="0.2">
      <c r="A651">
        <v>19164</v>
      </c>
      <c r="B651" t="s">
        <v>35</v>
      </c>
      <c r="C651" s="16" t="str">
        <f t="shared" si="20"/>
        <v>Single</v>
      </c>
      <c r="D651" t="s">
        <v>33</v>
      </c>
      <c r="E651" s="16" t="str">
        <f t="shared" si="21"/>
        <v>Female</v>
      </c>
      <c r="F651" s="1">
        <v>70000</v>
      </c>
      <c r="G651">
        <v>0</v>
      </c>
      <c r="H651" t="s">
        <v>13</v>
      </c>
      <c r="I651" t="s">
        <v>21</v>
      </c>
      <c r="J651" t="s">
        <v>18</v>
      </c>
      <c r="K651">
        <v>1</v>
      </c>
      <c r="L651" t="s">
        <v>22</v>
      </c>
      <c r="M651" t="s">
        <v>32</v>
      </c>
      <c r="N651">
        <v>38</v>
      </c>
      <c r="O651" t="s">
        <v>15</v>
      </c>
    </row>
    <row r="652" spans="1:15" x14ac:dyDescent="0.2">
      <c r="A652">
        <v>18435</v>
      </c>
      <c r="B652" t="s">
        <v>35</v>
      </c>
      <c r="C652" s="16" t="str">
        <f t="shared" si="20"/>
        <v>Single</v>
      </c>
      <c r="D652" t="s">
        <v>33</v>
      </c>
      <c r="E652" s="16" t="str">
        <f t="shared" si="21"/>
        <v>Female</v>
      </c>
      <c r="F652" s="1">
        <v>70000</v>
      </c>
      <c r="G652">
        <v>5</v>
      </c>
      <c r="H652" t="s">
        <v>31</v>
      </c>
      <c r="I652" t="s">
        <v>28</v>
      </c>
      <c r="J652" t="s">
        <v>15</v>
      </c>
      <c r="K652">
        <v>2</v>
      </c>
      <c r="L652" t="s">
        <v>30</v>
      </c>
      <c r="M652" t="s">
        <v>32</v>
      </c>
      <c r="N652">
        <v>67</v>
      </c>
      <c r="O652" t="s">
        <v>15</v>
      </c>
    </row>
    <row r="653" spans="1:15" x14ac:dyDescent="0.2">
      <c r="A653">
        <v>14284</v>
      </c>
      <c r="B653" t="s">
        <v>35</v>
      </c>
      <c r="C653" s="16" t="str">
        <f t="shared" si="20"/>
        <v>Single</v>
      </c>
      <c r="D653" t="s">
        <v>34</v>
      </c>
      <c r="E653" s="16" t="str">
        <f t="shared" si="21"/>
        <v>Male</v>
      </c>
      <c r="F653" s="1">
        <v>60000</v>
      </c>
      <c r="G653">
        <v>0</v>
      </c>
      <c r="H653" t="s">
        <v>19</v>
      </c>
      <c r="I653" t="s">
        <v>21</v>
      </c>
      <c r="J653" t="s">
        <v>18</v>
      </c>
      <c r="K653">
        <v>2</v>
      </c>
      <c r="L653" t="s">
        <v>26</v>
      </c>
      <c r="M653" t="s">
        <v>32</v>
      </c>
      <c r="N653">
        <v>32</v>
      </c>
      <c r="O653" t="s">
        <v>15</v>
      </c>
    </row>
    <row r="654" spans="1:15" x14ac:dyDescent="0.2">
      <c r="A654">
        <v>11287</v>
      </c>
      <c r="B654" t="s">
        <v>34</v>
      </c>
      <c r="C654" s="16" t="str">
        <f t="shared" si="20"/>
        <v>Married</v>
      </c>
      <c r="D654" t="s">
        <v>34</v>
      </c>
      <c r="E654" s="16" t="str">
        <f t="shared" si="21"/>
        <v>Male</v>
      </c>
      <c r="F654" s="1">
        <v>70000</v>
      </c>
      <c r="G654">
        <v>5</v>
      </c>
      <c r="H654" t="s">
        <v>19</v>
      </c>
      <c r="I654" t="s">
        <v>21</v>
      </c>
      <c r="J654" t="s">
        <v>18</v>
      </c>
      <c r="K654">
        <v>3</v>
      </c>
      <c r="L654" t="s">
        <v>23</v>
      </c>
      <c r="M654" t="s">
        <v>32</v>
      </c>
      <c r="N654">
        <v>45</v>
      </c>
      <c r="O654" t="s">
        <v>18</v>
      </c>
    </row>
    <row r="655" spans="1:15" x14ac:dyDescent="0.2">
      <c r="A655">
        <v>13066</v>
      </c>
      <c r="B655" t="s">
        <v>35</v>
      </c>
      <c r="C655" s="16" t="str">
        <f t="shared" si="20"/>
        <v>Single</v>
      </c>
      <c r="D655" t="s">
        <v>34</v>
      </c>
      <c r="E655" s="16" t="str">
        <f t="shared" si="21"/>
        <v>Male</v>
      </c>
      <c r="F655" s="1">
        <v>30000</v>
      </c>
      <c r="G655">
        <v>0</v>
      </c>
      <c r="H655" t="s">
        <v>27</v>
      </c>
      <c r="I655" t="s">
        <v>14</v>
      </c>
      <c r="J655" t="s">
        <v>18</v>
      </c>
      <c r="K655">
        <v>2</v>
      </c>
      <c r="L655" t="s">
        <v>26</v>
      </c>
      <c r="M655" t="s">
        <v>32</v>
      </c>
      <c r="N655">
        <v>31</v>
      </c>
      <c r="O655" t="s">
        <v>15</v>
      </c>
    </row>
    <row r="656" spans="1:15" x14ac:dyDescent="0.2">
      <c r="A656">
        <v>29106</v>
      </c>
      <c r="B656" t="s">
        <v>35</v>
      </c>
      <c r="C656" s="16" t="str">
        <f t="shared" si="20"/>
        <v>Single</v>
      </c>
      <c r="D656" t="s">
        <v>34</v>
      </c>
      <c r="E656" s="16" t="str">
        <f t="shared" si="21"/>
        <v>Male</v>
      </c>
      <c r="F656" s="1">
        <v>40000</v>
      </c>
      <c r="G656">
        <v>0</v>
      </c>
      <c r="H656" t="s">
        <v>27</v>
      </c>
      <c r="I656" t="s">
        <v>14</v>
      </c>
      <c r="J656" t="s">
        <v>18</v>
      </c>
      <c r="K656">
        <v>2</v>
      </c>
      <c r="L656" t="s">
        <v>26</v>
      </c>
      <c r="M656" t="s">
        <v>32</v>
      </c>
      <c r="N656">
        <v>31</v>
      </c>
      <c r="O656" t="s">
        <v>15</v>
      </c>
    </row>
    <row r="657" spans="1:15" x14ac:dyDescent="0.2">
      <c r="A657">
        <v>26236</v>
      </c>
      <c r="B657" t="s">
        <v>34</v>
      </c>
      <c r="C657" s="16" t="str">
        <f t="shared" si="20"/>
        <v>Married</v>
      </c>
      <c r="D657" t="s">
        <v>33</v>
      </c>
      <c r="E657" s="16" t="str">
        <f t="shared" si="21"/>
        <v>Female</v>
      </c>
      <c r="F657" s="1">
        <v>40000</v>
      </c>
      <c r="G657">
        <v>3</v>
      </c>
      <c r="H657" t="s">
        <v>19</v>
      </c>
      <c r="I657" t="s">
        <v>20</v>
      </c>
      <c r="J657" t="s">
        <v>15</v>
      </c>
      <c r="K657">
        <v>1</v>
      </c>
      <c r="L657" t="s">
        <v>16</v>
      </c>
      <c r="M657" t="s">
        <v>32</v>
      </c>
      <c r="N657">
        <v>31</v>
      </c>
      <c r="O657" t="s">
        <v>18</v>
      </c>
    </row>
    <row r="658" spans="1:15" x14ac:dyDescent="0.2">
      <c r="A658">
        <v>17531</v>
      </c>
      <c r="B658" t="s">
        <v>34</v>
      </c>
      <c r="C658" s="16" t="str">
        <f t="shared" si="20"/>
        <v>Married</v>
      </c>
      <c r="D658" t="s">
        <v>34</v>
      </c>
      <c r="E658" s="16" t="str">
        <f t="shared" si="21"/>
        <v>Male</v>
      </c>
      <c r="F658" s="1">
        <v>60000</v>
      </c>
      <c r="G658">
        <v>2</v>
      </c>
      <c r="H658" t="s">
        <v>27</v>
      </c>
      <c r="I658" t="s">
        <v>21</v>
      </c>
      <c r="J658" t="s">
        <v>18</v>
      </c>
      <c r="K658">
        <v>2</v>
      </c>
      <c r="L658" t="s">
        <v>23</v>
      </c>
      <c r="M658" t="s">
        <v>32</v>
      </c>
      <c r="N658">
        <v>50</v>
      </c>
      <c r="O658" t="s">
        <v>18</v>
      </c>
    </row>
    <row r="659" spans="1:15" x14ac:dyDescent="0.2">
      <c r="A659">
        <v>12964</v>
      </c>
      <c r="B659" t="s">
        <v>34</v>
      </c>
      <c r="C659" s="16" t="str">
        <f t="shared" si="20"/>
        <v>Married</v>
      </c>
      <c r="D659" t="s">
        <v>34</v>
      </c>
      <c r="E659" s="16" t="str">
        <f t="shared" si="21"/>
        <v>Male</v>
      </c>
      <c r="F659" s="1">
        <v>70000</v>
      </c>
      <c r="G659">
        <v>1</v>
      </c>
      <c r="H659" t="s">
        <v>19</v>
      </c>
      <c r="I659" t="s">
        <v>14</v>
      </c>
      <c r="J659" t="s">
        <v>15</v>
      </c>
      <c r="K659">
        <v>1</v>
      </c>
      <c r="L659" t="s">
        <v>16</v>
      </c>
      <c r="M659" t="s">
        <v>32</v>
      </c>
      <c r="N659">
        <v>44</v>
      </c>
      <c r="O659" t="s">
        <v>18</v>
      </c>
    </row>
    <row r="660" spans="1:15" x14ac:dyDescent="0.2">
      <c r="A660">
        <v>19133</v>
      </c>
      <c r="B660" t="s">
        <v>35</v>
      </c>
      <c r="C660" s="16" t="str">
        <f t="shared" si="20"/>
        <v>Single</v>
      </c>
      <c r="D660" t="s">
        <v>34</v>
      </c>
      <c r="E660" s="16" t="str">
        <f t="shared" si="21"/>
        <v>Male</v>
      </c>
      <c r="F660" s="1">
        <v>50000</v>
      </c>
      <c r="G660">
        <v>2</v>
      </c>
      <c r="H660" t="s">
        <v>13</v>
      </c>
      <c r="I660" t="s">
        <v>14</v>
      </c>
      <c r="J660" t="s">
        <v>15</v>
      </c>
      <c r="K660">
        <v>1</v>
      </c>
      <c r="L660" t="s">
        <v>22</v>
      </c>
      <c r="M660" t="s">
        <v>32</v>
      </c>
      <c r="N660">
        <v>38</v>
      </c>
      <c r="O660" t="s">
        <v>15</v>
      </c>
    </row>
    <row r="661" spans="1:15" x14ac:dyDescent="0.2">
      <c r="A661">
        <v>24643</v>
      </c>
      <c r="B661" t="s">
        <v>35</v>
      </c>
      <c r="C661" s="16" t="str">
        <f t="shared" si="20"/>
        <v>Single</v>
      </c>
      <c r="D661" t="s">
        <v>33</v>
      </c>
      <c r="E661" s="16" t="str">
        <f t="shared" si="21"/>
        <v>Female</v>
      </c>
      <c r="F661" s="1">
        <v>60000</v>
      </c>
      <c r="G661">
        <v>4</v>
      </c>
      <c r="H661" t="s">
        <v>13</v>
      </c>
      <c r="I661" t="s">
        <v>28</v>
      </c>
      <c r="J661" t="s">
        <v>15</v>
      </c>
      <c r="K661">
        <v>2</v>
      </c>
      <c r="L661" t="s">
        <v>30</v>
      </c>
      <c r="M661" t="s">
        <v>32</v>
      </c>
      <c r="N661">
        <v>63</v>
      </c>
      <c r="O661" t="s">
        <v>18</v>
      </c>
    </row>
    <row r="662" spans="1:15" x14ac:dyDescent="0.2">
      <c r="A662">
        <v>21599</v>
      </c>
      <c r="B662" t="s">
        <v>34</v>
      </c>
      <c r="C662" s="16" t="str">
        <f t="shared" si="20"/>
        <v>Married</v>
      </c>
      <c r="D662" t="s">
        <v>33</v>
      </c>
      <c r="E662" s="16" t="str">
        <f t="shared" si="21"/>
        <v>Female</v>
      </c>
      <c r="F662" s="1">
        <v>60000</v>
      </c>
      <c r="G662">
        <v>1</v>
      </c>
      <c r="H662" t="s">
        <v>31</v>
      </c>
      <c r="I662" t="s">
        <v>21</v>
      </c>
      <c r="J662" t="s">
        <v>15</v>
      </c>
      <c r="K662">
        <v>0</v>
      </c>
      <c r="L662" t="s">
        <v>22</v>
      </c>
      <c r="M662" t="s">
        <v>32</v>
      </c>
      <c r="N662">
        <v>36</v>
      </c>
      <c r="O662" t="s">
        <v>15</v>
      </c>
    </row>
    <row r="663" spans="1:15" x14ac:dyDescent="0.2">
      <c r="A663">
        <v>22976</v>
      </c>
      <c r="B663" t="s">
        <v>35</v>
      </c>
      <c r="C663" s="16" t="str">
        <f t="shared" si="20"/>
        <v>Single</v>
      </c>
      <c r="D663" t="s">
        <v>34</v>
      </c>
      <c r="E663" s="16" t="str">
        <f t="shared" si="21"/>
        <v>Male</v>
      </c>
      <c r="F663" s="1">
        <v>40000</v>
      </c>
      <c r="G663">
        <v>0</v>
      </c>
      <c r="H663" t="s">
        <v>27</v>
      </c>
      <c r="I663" t="s">
        <v>14</v>
      </c>
      <c r="J663" t="s">
        <v>18</v>
      </c>
      <c r="K663">
        <v>2</v>
      </c>
      <c r="L663" t="s">
        <v>16</v>
      </c>
      <c r="M663" t="s">
        <v>32</v>
      </c>
      <c r="N663">
        <v>28</v>
      </c>
      <c r="O663" t="s">
        <v>15</v>
      </c>
    </row>
    <row r="664" spans="1:15" x14ac:dyDescent="0.2">
      <c r="A664">
        <v>27637</v>
      </c>
      <c r="B664" t="s">
        <v>35</v>
      </c>
      <c r="C664" s="16" t="str">
        <f t="shared" si="20"/>
        <v>Single</v>
      </c>
      <c r="D664" t="s">
        <v>33</v>
      </c>
      <c r="E664" s="16" t="str">
        <f t="shared" si="21"/>
        <v>Female</v>
      </c>
      <c r="F664" s="1">
        <v>100000</v>
      </c>
      <c r="G664">
        <v>1</v>
      </c>
      <c r="H664" t="s">
        <v>19</v>
      </c>
      <c r="I664" t="s">
        <v>21</v>
      </c>
      <c r="J664" t="s">
        <v>18</v>
      </c>
      <c r="K664">
        <v>3</v>
      </c>
      <c r="L664" t="s">
        <v>26</v>
      </c>
      <c r="M664" t="s">
        <v>32</v>
      </c>
      <c r="N664">
        <v>44</v>
      </c>
      <c r="O664" t="s">
        <v>18</v>
      </c>
    </row>
    <row r="665" spans="1:15" x14ac:dyDescent="0.2">
      <c r="A665">
        <v>11890</v>
      </c>
      <c r="B665" t="s">
        <v>34</v>
      </c>
      <c r="C665" s="16" t="str">
        <f t="shared" si="20"/>
        <v>Married</v>
      </c>
      <c r="D665" t="s">
        <v>33</v>
      </c>
      <c r="E665" s="16" t="str">
        <f t="shared" si="21"/>
        <v>Female</v>
      </c>
      <c r="F665" s="1">
        <v>70000</v>
      </c>
      <c r="G665">
        <v>5</v>
      </c>
      <c r="H665" t="s">
        <v>31</v>
      </c>
      <c r="I665" t="s">
        <v>21</v>
      </c>
      <c r="J665" t="s">
        <v>15</v>
      </c>
      <c r="K665">
        <v>1</v>
      </c>
      <c r="L665" t="s">
        <v>16</v>
      </c>
      <c r="M665" t="s">
        <v>32</v>
      </c>
      <c r="N665">
        <v>47</v>
      </c>
      <c r="O665" t="s">
        <v>18</v>
      </c>
    </row>
    <row r="666" spans="1:15" x14ac:dyDescent="0.2">
      <c r="A666">
        <v>28580</v>
      </c>
      <c r="B666" t="s">
        <v>34</v>
      </c>
      <c r="C666" s="16" t="str">
        <f t="shared" si="20"/>
        <v>Married</v>
      </c>
      <c r="D666" t="s">
        <v>33</v>
      </c>
      <c r="E666" s="16" t="str">
        <f t="shared" si="21"/>
        <v>Female</v>
      </c>
      <c r="F666" s="1">
        <v>80000</v>
      </c>
      <c r="G666">
        <v>0</v>
      </c>
      <c r="H666" t="s">
        <v>31</v>
      </c>
      <c r="I666" t="s">
        <v>14</v>
      </c>
      <c r="J666" t="s">
        <v>15</v>
      </c>
      <c r="K666">
        <v>0</v>
      </c>
      <c r="L666" t="s">
        <v>26</v>
      </c>
      <c r="M666" t="s">
        <v>32</v>
      </c>
      <c r="N666">
        <v>40</v>
      </c>
      <c r="O666" t="s">
        <v>15</v>
      </c>
    </row>
    <row r="667" spans="1:15" x14ac:dyDescent="0.2">
      <c r="A667">
        <v>14443</v>
      </c>
      <c r="B667" t="s">
        <v>34</v>
      </c>
      <c r="C667" s="16" t="str">
        <f t="shared" si="20"/>
        <v>Married</v>
      </c>
      <c r="D667" t="s">
        <v>34</v>
      </c>
      <c r="E667" s="16" t="str">
        <f t="shared" si="21"/>
        <v>Male</v>
      </c>
      <c r="F667" s="1">
        <v>130000</v>
      </c>
      <c r="G667">
        <v>1</v>
      </c>
      <c r="H667" t="s">
        <v>31</v>
      </c>
      <c r="I667" t="s">
        <v>28</v>
      </c>
      <c r="J667" t="s">
        <v>15</v>
      </c>
      <c r="K667">
        <v>4</v>
      </c>
      <c r="L667" t="s">
        <v>16</v>
      </c>
      <c r="M667" t="s">
        <v>32</v>
      </c>
      <c r="N667">
        <v>40</v>
      </c>
      <c r="O667" t="s">
        <v>18</v>
      </c>
    </row>
    <row r="668" spans="1:15" x14ac:dyDescent="0.2">
      <c r="A668">
        <v>17864</v>
      </c>
      <c r="B668" t="s">
        <v>34</v>
      </c>
      <c r="C668" s="16" t="str">
        <f t="shared" si="20"/>
        <v>Married</v>
      </c>
      <c r="D668" t="s">
        <v>33</v>
      </c>
      <c r="E668" s="16" t="str">
        <f t="shared" si="21"/>
        <v>Female</v>
      </c>
      <c r="F668" s="1">
        <v>60000</v>
      </c>
      <c r="G668">
        <v>1</v>
      </c>
      <c r="H668" t="s">
        <v>19</v>
      </c>
      <c r="I668" t="s">
        <v>14</v>
      </c>
      <c r="J668" t="s">
        <v>15</v>
      </c>
      <c r="K668">
        <v>1</v>
      </c>
      <c r="L668" t="s">
        <v>22</v>
      </c>
      <c r="M668" t="s">
        <v>32</v>
      </c>
      <c r="N668">
        <v>46</v>
      </c>
      <c r="O668" t="s">
        <v>15</v>
      </c>
    </row>
    <row r="669" spans="1:15" x14ac:dyDescent="0.2">
      <c r="A669">
        <v>20505</v>
      </c>
      <c r="B669" t="s">
        <v>34</v>
      </c>
      <c r="C669" s="16" t="str">
        <f t="shared" si="20"/>
        <v>Married</v>
      </c>
      <c r="D669" t="s">
        <v>33</v>
      </c>
      <c r="E669" s="16" t="str">
        <f t="shared" si="21"/>
        <v>Female</v>
      </c>
      <c r="F669" s="1">
        <v>40000</v>
      </c>
      <c r="G669">
        <v>5</v>
      </c>
      <c r="H669" t="s">
        <v>27</v>
      </c>
      <c r="I669" t="s">
        <v>21</v>
      </c>
      <c r="J669" t="s">
        <v>18</v>
      </c>
      <c r="K669">
        <v>2</v>
      </c>
      <c r="L669" t="s">
        <v>30</v>
      </c>
      <c r="M669" t="s">
        <v>32</v>
      </c>
      <c r="N669">
        <v>61</v>
      </c>
      <c r="O669" t="s">
        <v>18</v>
      </c>
    </row>
    <row r="670" spans="1:15" x14ac:dyDescent="0.2">
      <c r="A670">
        <v>14592</v>
      </c>
      <c r="B670" t="s">
        <v>34</v>
      </c>
      <c r="C670" s="16" t="str">
        <f t="shared" si="20"/>
        <v>Married</v>
      </c>
      <c r="D670" t="s">
        <v>33</v>
      </c>
      <c r="E670" s="16" t="str">
        <f t="shared" si="21"/>
        <v>Female</v>
      </c>
      <c r="F670" s="1">
        <v>60000</v>
      </c>
      <c r="G670">
        <v>0</v>
      </c>
      <c r="H670" t="s">
        <v>31</v>
      </c>
      <c r="I670" t="s">
        <v>21</v>
      </c>
      <c r="J670" t="s">
        <v>15</v>
      </c>
      <c r="K670">
        <v>0</v>
      </c>
      <c r="L670" t="s">
        <v>16</v>
      </c>
      <c r="M670" t="s">
        <v>32</v>
      </c>
      <c r="N670">
        <v>40</v>
      </c>
      <c r="O670" t="s">
        <v>18</v>
      </c>
    </row>
    <row r="671" spans="1:15" x14ac:dyDescent="0.2">
      <c r="A671">
        <v>22227</v>
      </c>
      <c r="B671" t="s">
        <v>34</v>
      </c>
      <c r="C671" s="16" t="str">
        <f t="shared" si="20"/>
        <v>Married</v>
      </c>
      <c r="D671" t="s">
        <v>33</v>
      </c>
      <c r="E671" s="16" t="str">
        <f t="shared" si="21"/>
        <v>Female</v>
      </c>
      <c r="F671" s="1">
        <v>60000</v>
      </c>
      <c r="G671">
        <v>2</v>
      </c>
      <c r="H671" t="s">
        <v>27</v>
      </c>
      <c r="I671" t="s">
        <v>21</v>
      </c>
      <c r="J671" t="s">
        <v>15</v>
      </c>
      <c r="K671">
        <v>2</v>
      </c>
      <c r="L671" t="s">
        <v>23</v>
      </c>
      <c r="M671" t="s">
        <v>32</v>
      </c>
      <c r="N671">
        <v>50</v>
      </c>
      <c r="O671" t="s">
        <v>18</v>
      </c>
    </row>
    <row r="672" spans="1:15" x14ac:dyDescent="0.2">
      <c r="A672">
        <v>21471</v>
      </c>
      <c r="B672" t="s">
        <v>34</v>
      </c>
      <c r="C672" s="16" t="str">
        <f t="shared" si="20"/>
        <v>Married</v>
      </c>
      <c r="D672" t="s">
        <v>34</v>
      </c>
      <c r="E672" s="16" t="str">
        <f t="shared" si="21"/>
        <v>Male</v>
      </c>
      <c r="F672" s="1">
        <v>70000</v>
      </c>
      <c r="G672">
        <v>2</v>
      </c>
      <c r="H672" t="s">
        <v>19</v>
      </c>
      <c r="I672" t="s">
        <v>21</v>
      </c>
      <c r="J672" t="s">
        <v>15</v>
      </c>
      <c r="K672">
        <v>1</v>
      </c>
      <c r="L672" t="s">
        <v>30</v>
      </c>
      <c r="M672" t="s">
        <v>32</v>
      </c>
      <c r="N672">
        <v>59</v>
      </c>
      <c r="O672" t="s">
        <v>18</v>
      </c>
    </row>
    <row r="673" spans="1:15" x14ac:dyDescent="0.2">
      <c r="A673">
        <v>22252</v>
      </c>
      <c r="B673" t="s">
        <v>35</v>
      </c>
      <c r="C673" s="16" t="str">
        <f t="shared" si="20"/>
        <v>Single</v>
      </c>
      <c r="D673" t="s">
        <v>33</v>
      </c>
      <c r="E673" s="16" t="str">
        <f t="shared" si="21"/>
        <v>Female</v>
      </c>
      <c r="F673" s="1">
        <v>60000</v>
      </c>
      <c r="G673">
        <v>1</v>
      </c>
      <c r="H673" t="s">
        <v>31</v>
      </c>
      <c r="I673" t="s">
        <v>21</v>
      </c>
      <c r="J673" t="s">
        <v>15</v>
      </c>
      <c r="K673">
        <v>0</v>
      </c>
      <c r="L673" t="s">
        <v>22</v>
      </c>
      <c r="M673" t="s">
        <v>32</v>
      </c>
      <c r="N673">
        <v>36</v>
      </c>
      <c r="O673" t="s">
        <v>15</v>
      </c>
    </row>
    <row r="674" spans="1:15" x14ac:dyDescent="0.2">
      <c r="A674">
        <v>21260</v>
      </c>
      <c r="B674" t="s">
        <v>35</v>
      </c>
      <c r="C674" s="16" t="str">
        <f t="shared" si="20"/>
        <v>Single</v>
      </c>
      <c r="D674" t="s">
        <v>33</v>
      </c>
      <c r="E674" s="16" t="str">
        <f t="shared" si="21"/>
        <v>Female</v>
      </c>
      <c r="F674" s="1">
        <v>40000</v>
      </c>
      <c r="G674">
        <v>0</v>
      </c>
      <c r="H674" t="s">
        <v>27</v>
      </c>
      <c r="I674" t="s">
        <v>14</v>
      </c>
      <c r="J674" t="s">
        <v>15</v>
      </c>
      <c r="K674">
        <v>2</v>
      </c>
      <c r="L674" t="s">
        <v>23</v>
      </c>
      <c r="M674" t="s">
        <v>32</v>
      </c>
      <c r="N674">
        <v>30</v>
      </c>
      <c r="O674" t="s">
        <v>18</v>
      </c>
    </row>
    <row r="675" spans="1:15" x14ac:dyDescent="0.2">
      <c r="A675">
        <v>11817</v>
      </c>
      <c r="B675" t="s">
        <v>35</v>
      </c>
      <c r="C675" s="16" t="str">
        <f t="shared" si="20"/>
        <v>Single</v>
      </c>
      <c r="D675" t="s">
        <v>33</v>
      </c>
      <c r="E675" s="16" t="str">
        <f t="shared" si="21"/>
        <v>Female</v>
      </c>
      <c r="F675" s="1">
        <v>70000</v>
      </c>
      <c r="G675">
        <v>4</v>
      </c>
      <c r="H675" t="s">
        <v>31</v>
      </c>
      <c r="I675" t="s">
        <v>21</v>
      </c>
      <c r="J675" t="s">
        <v>15</v>
      </c>
      <c r="K675">
        <v>0</v>
      </c>
      <c r="L675" t="s">
        <v>22</v>
      </c>
      <c r="M675" t="s">
        <v>32</v>
      </c>
      <c r="N675">
        <v>35</v>
      </c>
      <c r="O675" t="s">
        <v>15</v>
      </c>
    </row>
    <row r="676" spans="1:15" x14ac:dyDescent="0.2">
      <c r="A676">
        <v>19223</v>
      </c>
      <c r="B676" t="s">
        <v>34</v>
      </c>
      <c r="C676" s="16" t="str">
        <f t="shared" si="20"/>
        <v>Married</v>
      </c>
      <c r="D676" t="s">
        <v>33</v>
      </c>
      <c r="E676" s="16" t="str">
        <f t="shared" si="21"/>
        <v>Female</v>
      </c>
      <c r="F676" s="1">
        <v>30000</v>
      </c>
      <c r="G676">
        <v>2</v>
      </c>
      <c r="H676" t="s">
        <v>27</v>
      </c>
      <c r="I676" t="s">
        <v>14</v>
      </c>
      <c r="J676" t="s">
        <v>15</v>
      </c>
      <c r="K676">
        <v>2</v>
      </c>
      <c r="L676" t="s">
        <v>26</v>
      </c>
      <c r="M676" t="s">
        <v>32</v>
      </c>
      <c r="N676">
        <v>48</v>
      </c>
      <c r="O676" t="s">
        <v>18</v>
      </c>
    </row>
    <row r="677" spans="1:15" x14ac:dyDescent="0.2">
      <c r="A677">
        <v>18517</v>
      </c>
      <c r="B677" t="s">
        <v>34</v>
      </c>
      <c r="C677" s="16" t="str">
        <f t="shared" si="20"/>
        <v>Married</v>
      </c>
      <c r="D677" t="s">
        <v>34</v>
      </c>
      <c r="E677" s="16" t="str">
        <f t="shared" si="21"/>
        <v>Male</v>
      </c>
      <c r="F677" s="1">
        <v>100000</v>
      </c>
      <c r="G677">
        <v>3</v>
      </c>
      <c r="H677" t="s">
        <v>13</v>
      </c>
      <c r="I677" t="s">
        <v>28</v>
      </c>
      <c r="J677" t="s">
        <v>15</v>
      </c>
      <c r="K677">
        <v>4</v>
      </c>
      <c r="L677" t="s">
        <v>16</v>
      </c>
      <c r="M677" t="s">
        <v>32</v>
      </c>
      <c r="N677">
        <v>41</v>
      </c>
      <c r="O677" t="s">
        <v>18</v>
      </c>
    </row>
    <row r="678" spans="1:15" x14ac:dyDescent="0.2">
      <c r="A678">
        <v>21717</v>
      </c>
      <c r="B678" t="s">
        <v>34</v>
      </c>
      <c r="C678" s="16" t="str">
        <f t="shared" si="20"/>
        <v>Married</v>
      </c>
      <c r="D678" t="s">
        <v>34</v>
      </c>
      <c r="E678" s="16" t="str">
        <f t="shared" si="21"/>
        <v>Male</v>
      </c>
      <c r="F678" s="1">
        <v>40000</v>
      </c>
      <c r="G678">
        <v>2</v>
      </c>
      <c r="H678" t="s">
        <v>19</v>
      </c>
      <c r="I678" t="s">
        <v>20</v>
      </c>
      <c r="J678" t="s">
        <v>15</v>
      </c>
      <c r="K678">
        <v>1</v>
      </c>
      <c r="L678" t="s">
        <v>16</v>
      </c>
      <c r="M678" t="s">
        <v>32</v>
      </c>
      <c r="N678">
        <v>47</v>
      </c>
      <c r="O678" t="s">
        <v>18</v>
      </c>
    </row>
    <row r="679" spans="1:15" x14ac:dyDescent="0.2">
      <c r="A679">
        <v>13760</v>
      </c>
      <c r="B679" t="s">
        <v>34</v>
      </c>
      <c r="C679" s="16" t="str">
        <f t="shared" si="20"/>
        <v>Married</v>
      </c>
      <c r="D679" t="s">
        <v>34</v>
      </c>
      <c r="E679" s="16" t="str">
        <f t="shared" si="21"/>
        <v>Male</v>
      </c>
      <c r="F679" s="1">
        <v>60000</v>
      </c>
      <c r="G679">
        <v>4</v>
      </c>
      <c r="H679" t="s">
        <v>31</v>
      </c>
      <c r="I679" t="s">
        <v>14</v>
      </c>
      <c r="J679" t="s">
        <v>18</v>
      </c>
      <c r="K679">
        <v>0</v>
      </c>
      <c r="L679" t="s">
        <v>16</v>
      </c>
      <c r="M679" t="s">
        <v>32</v>
      </c>
      <c r="N679">
        <v>47</v>
      </c>
      <c r="O679" t="s">
        <v>18</v>
      </c>
    </row>
    <row r="680" spans="1:15" x14ac:dyDescent="0.2">
      <c r="A680">
        <v>18145</v>
      </c>
      <c r="B680" t="s">
        <v>34</v>
      </c>
      <c r="C680" s="16" t="str">
        <f t="shared" si="20"/>
        <v>Married</v>
      </c>
      <c r="D680" t="s">
        <v>34</v>
      </c>
      <c r="E680" s="16" t="str">
        <f t="shared" si="21"/>
        <v>Male</v>
      </c>
      <c r="F680" s="1">
        <v>80000</v>
      </c>
      <c r="G680">
        <v>5</v>
      </c>
      <c r="H680" t="s">
        <v>13</v>
      </c>
      <c r="I680" t="s">
        <v>28</v>
      </c>
      <c r="J680" t="s">
        <v>18</v>
      </c>
      <c r="K680">
        <v>2</v>
      </c>
      <c r="L680" t="s">
        <v>22</v>
      </c>
      <c r="M680" t="s">
        <v>17</v>
      </c>
      <c r="N680">
        <v>62</v>
      </c>
      <c r="O680" t="s">
        <v>18</v>
      </c>
    </row>
    <row r="681" spans="1:15" x14ac:dyDescent="0.2">
      <c r="A681">
        <v>21770</v>
      </c>
      <c r="B681" t="s">
        <v>34</v>
      </c>
      <c r="C681" s="16" t="str">
        <f t="shared" si="20"/>
        <v>Married</v>
      </c>
      <c r="D681" t="s">
        <v>34</v>
      </c>
      <c r="E681" s="16" t="str">
        <f t="shared" si="21"/>
        <v>Male</v>
      </c>
      <c r="F681" s="1">
        <v>60000</v>
      </c>
      <c r="G681">
        <v>4</v>
      </c>
      <c r="H681" t="s">
        <v>13</v>
      </c>
      <c r="I681" t="s">
        <v>28</v>
      </c>
      <c r="J681" t="s">
        <v>15</v>
      </c>
      <c r="K681">
        <v>2</v>
      </c>
      <c r="L681" t="s">
        <v>30</v>
      </c>
      <c r="M681" t="s">
        <v>32</v>
      </c>
      <c r="N681">
        <v>60</v>
      </c>
      <c r="O681" t="s">
        <v>18</v>
      </c>
    </row>
    <row r="682" spans="1:15" x14ac:dyDescent="0.2">
      <c r="A682">
        <v>11165</v>
      </c>
      <c r="B682" t="s">
        <v>34</v>
      </c>
      <c r="C682" s="16" t="str">
        <f t="shared" si="20"/>
        <v>Married</v>
      </c>
      <c r="D682" t="s">
        <v>33</v>
      </c>
      <c r="E682" s="16" t="str">
        <f t="shared" si="21"/>
        <v>Female</v>
      </c>
      <c r="F682" s="1">
        <v>60000</v>
      </c>
      <c r="G682">
        <v>0</v>
      </c>
      <c r="H682" t="s">
        <v>19</v>
      </c>
      <c r="I682" t="s">
        <v>14</v>
      </c>
      <c r="J682" t="s">
        <v>18</v>
      </c>
      <c r="K682">
        <v>1</v>
      </c>
      <c r="L682" t="s">
        <v>26</v>
      </c>
      <c r="M682" t="s">
        <v>32</v>
      </c>
      <c r="N682">
        <v>33</v>
      </c>
      <c r="O682" t="s">
        <v>18</v>
      </c>
    </row>
    <row r="683" spans="1:15" x14ac:dyDescent="0.2">
      <c r="A683">
        <v>16377</v>
      </c>
      <c r="B683" t="s">
        <v>35</v>
      </c>
      <c r="C683" s="16" t="str">
        <f t="shared" si="20"/>
        <v>Single</v>
      </c>
      <c r="D683" t="s">
        <v>33</v>
      </c>
      <c r="E683" s="16" t="str">
        <f t="shared" si="21"/>
        <v>Female</v>
      </c>
      <c r="F683" s="1">
        <v>80000</v>
      </c>
      <c r="G683">
        <v>4</v>
      </c>
      <c r="H683" t="s">
        <v>31</v>
      </c>
      <c r="I683" t="s">
        <v>14</v>
      </c>
      <c r="J683" t="s">
        <v>18</v>
      </c>
      <c r="K683">
        <v>0</v>
      </c>
      <c r="L683" t="s">
        <v>16</v>
      </c>
      <c r="M683" t="s">
        <v>32</v>
      </c>
      <c r="N683">
        <v>47</v>
      </c>
      <c r="O683" t="s">
        <v>18</v>
      </c>
    </row>
    <row r="684" spans="1:15" x14ac:dyDescent="0.2">
      <c r="A684">
        <v>26248</v>
      </c>
      <c r="B684" t="s">
        <v>34</v>
      </c>
      <c r="C684" s="16" t="str">
        <f t="shared" si="20"/>
        <v>Married</v>
      </c>
      <c r="D684" t="s">
        <v>34</v>
      </c>
      <c r="E684" s="16" t="str">
        <f t="shared" si="21"/>
        <v>Male</v>
      </c>
      <c r="F684" s="1">
        <v>20000</v>
      </c>
      <c r="G684">
        <v>3</v>
      </c>
      <c r="H684" t="s">
        <v>29</v>
      </c>
      <c r="I684" t="s">
        <v>20</v>
      </c>
      <c r="J684" t="s">
        <v>18</v>
      </c>
      <c r="K684">
        <v>2</v>
      </c>
      <c r="L684" t="s">
        <v>16</v>
      </c>
      <c r="M684" t="s">
        <v>32</v>
      </c>
      <c r="N684">
        <v>52</v>
      </c>
      <c r="O684" t="s">
        <v>18</v>
      </c>
    </row>
    <row r="685" spans="1:15" x14ac:dyDescent="0.2">
      <c r="A685">
        <v>23461</v>
      </c>
      <c r="B685" t="s">
        <v>34</v>
      </c>
      <c r="C685" s="16" t="str">
        <f t="shared" si="20"/>
        <v>Married</v>
      </c>
      <c r="D685" t="s">
        <v>33</v>
      </c>
      <c r="E685" s="16" t="str">
        <f t="shared" si="21"/>
        <v>Female</v>
      </c>
      <c r="F685" s="1">
        <v>90000</v>
      </c>
      <c r="G685">
        <v>5</v>
      </c>
      <c r="H685" t="s">
        <v>19</v>
      </c>
      <c r="I685" t="s">
        <v>21</v>
      </c>
      <c r="J685" t="s">
        <v>15</v>
      </c>
      <c r="K685">
        <v>3</v>
      </c>
      <c r="L685" t="s">
        <v>22</v>
      </c>
      <c r="M685" t="s">
        <v>32</v>
      </c>
      <c r="N685">
        <v>40</v>
      </c>
      <c r="O685" t="s">
        <v>18</v>
      </c>
    </row>
    <row r="686" spans="1:15" x14ac:dyDescent="0.2">
      <c r="A686">
        <v>29133</v>
      </c>
      <c r="B686" t="s">
        <v>35</v>
      </c>
      <c r="C686" s="16" t="str">
        <f t="shared" si="20"/>
        <v>Single</v>
      </c>
      <c r="D686" t="s">
        <v>33</v>
      </c>
      <c r="E686" s="16" t="str">
        <f t="shared" si="21"/>
        <v>Female</v>
      </c>
      <c r="F686" s="1">
        <v>60000</v>
      </c>
      <c r="G686">
        <v>4</v>
      </c>
      <c r="H686" t="s">
        <v>13</v>
      </c>
      <c r="I686" t="s">
        <v>14</v>
      </c>
      <c r="J686" t="s">
        <v>18</v>
      </c>
      <c r="K686">
        <v>2</v>
      </c>
      <c r="L686" t="s">
        <v>16</v>
      </c>
      <c r="M686" t="s">
        <v>32</v>
      </c>
      <c r="N686">
        <v>42</v>
      </c>
      <c r="O686" t="s">
        <v>18</v>
      </c>
    </row>
    <row r="687" spans="1:15" x14ac:dyDescent="0.2">
      <c r="A687">
        <v>27673</v>
      </c>
      <c r="B687" t="s">
        <v>35</v>
      </c>
      <c r="C687" s="16" t="str">
        <f t="shared" si="20"/>
        <v>Single</v>
      </c>
      <c r="D687" t="s">
        <v>33</v>
      </c>
      <c r="E687" s="16" t="str">
        <f t="shared" si="21"/>
        <v>Female</v>
      </c>
      <c r="F687" s="1">
        <v>60000</v>
      </c>
      <c r="G687">
        <v>3</v>
      </c>
      <c r="H687" t="s">
        <v>31</v>
      </c>
      <c r="I687" t="s">
        <v>28</v>
      </c>
      <c r="J687" t="s">
        <v>15</v>
      </c>
      <c r="K687">
        <v>2</v>
      </c>
      <c r="L687" t="s">
        <v>23</v>
      </c>
      <c r="M687" t="s">
        <v>32</v>
      </c>
      <c r="N687">
        <v>53</v>
      </c>
      <c r="O687" t="s">
        <v>15</v>
      </c>
    </row>
    <row r="688" spans="1:15" x14ac:dyDescent="0.2">
      <c r="A688">
        <v>12774</v>
      </c>
      <c r="B688" t="s">
        <v>34</v>
      </c>
      <c r="C688" s="16" t="str">
        <f t="shared" si="20"/>
        <v>Married</v>
      </c>
      <c r="D688" t="s">
        <v>33</v>
      </c>
      <c r="E688" s="16" t="str">
        <f t="shared" si="21"/>
        <v>Female</v>
      </c>
      <c r="F688" s="1">
        <v>40000</v>
      </c>
      <c r="G688">
        <v>1</v>
      </c>
      <c r="H688" t="s">
        <v>19</v>
      </c>
      <c r="I688" t="s">
        <v>20</v>
      </c>
      <c r="J688" t="s">
        <v>15</v>
      </c>
      <c r="K688">
        <v>1</v>
      </c>
      <c r="L688" t="s">
        <v>26</v>
      </c>
      <c r="M688" t="s">
        <v>32</v>
      </c>
      <c r="N688">
        <v>51</v>
      </c>
      <c r="O688" t="s">
        <v>15</v>
      </c>
    </row>
    <row r="689" spans="1:15" x14ac:dyDescent="0.2">
      <c r="A689">
        <v>18910</v>
      </c>
      <c r="B689" t="s">
        <v>35</v>
      </c>
      <c r="C689" s="16" t="str">
        <f t="shared" si="20"/>
        <v>Single</v>
      </c>
      <c r="D689" t="s">
        <v>34</v>
      </c>
      <c r="E689" s="16" t="str">
        <f t="shared" si="21"/>
        <v>Male</v>
      </c>
      <c r="F689" s="1">
        <v>30000</v>
      </c>
      <c r="G689">
        <v>0</v>
      </c>
      <c r="H689" t="s">
        <v>19</v>
      </c>
      <c r="I689" t="s">
        <v>14</v>
      </c>
      <c r="J689" t="s">
        <v>15</v>
      </c>
      <c r="K689">
        <v>2</v>
      </c>
      <c r="L689" t="s">
        <v>23</v>
      </c>
      <c r="M689" t="s">
        <v>32</v>
      </c>
      <c r="N689">
        <v>30</v>
      </c>
      <c r="O689" t="s">
        <v>18</v>
      </c>
    </row>
    <row r="690" spans="1:15" x14ac:dyDescent="0.2">
      <c r="A690">
        <v>11699</v>
      </c>
      <c r="B690" t="s">
        <v>35</v>
      </c>
      <c r="C690" s="16" t="str">
        <f t="shared" si="20"/>
        <v>Single</v>
      </c>
      <c r="D690" t="s">
        <v>34</v>
      </c>
      <c r="E690" s="16" t="str">
        <f t="shared" si="21"/>
        <v>Male</v>
      </c>
      <c r="F690" s="1">
        <v>60000</v>
      </c>
      <c r="G690">
        <v>0</v>
      </c>
      <c r="H690" t="s">
        <v>13</v>
      </c>
      <c r="I690" t="s">
        <v>14</v>
      </c>
      <c r="J690" t="s">
        <v>18</v>
      </c>
      <c r="K690">
        <v>2</v>
      </c>
      <c r="L690" t="s">
        <v>16</v>
      </c>
      <c r="M690" t="s">
        <v>32</v>
      </c>
      <c r="N690">
        <v>30</v>
      </c>
      <c r="O690" t="s">
        <v>18</v>
      </c>
    </row>
    <row r="691" spans="1:15" x14ac:dyDescent="0.2">
      <c r="A691">
        <v>16725</v>
      </c>
      <c r="B691" t="s">
        <v>34</v>
      </c>
      <c r="C691" s="16" t="str">
        <f t="shared" si="20"/>
        <v>Married</v>
      </c>
      <c r="D691" t="s">
        <v>34</v>
      </c>
      <c r="E691" s="16" t="str">
        <f t="shared" si="21"/>
        <v>Male</v>
      </c>
      <c r="F691" s="1">
        <v>30000</v>
      </c>
      <c r="G691">
        <v>0</v>
      </c>
      <c r="H691" t="s">
        <v>27</v>
      </c>
      <c r="I691" t="s">
        <v>14</v>
      </c>
      <c r="J691" t="s">
        <v>15</v>
      </c>
      <c r="K691">
        <v>2</v>
      </c>
      <c r="L691" t="s">
        <v>23</v>
      </c>
      <c r="M691" t="s">
        <v>32</v>
      </c>
      <c r="N691">
        <v>26</v>
      </c>
      <c r="O691" t="s">
        <v>18</v>
      </c>
    </row>
    <row r="692" spans="1:15" x14ac:dyDescent="0.2">
      <c r="A692">
        <v>28269</v>
      </c>
      <c r="B692" t="s">
        <v>35</v>
      </c>
      <c r="C692" s="16" t="str">
        <f t="shared" si="20"/>
        <v>Single</v>
      </c>
      <c r="D692" t="s">
        <v>33</v>
      </c>
      <c r="E692" s="16" t="str">
        <f t="shared" si="21"/>
        <v>Female</v>
      </c>
      <c r="F692" s="1">
        <v>130000</v>
      </c>
      <c r="G692">
        <v>1</v>
      </c>
      <c r="H692" t="s">
        <v>13</v>
      </c>
      <c r="I692" t="s">
        <v>28</v>
      </c>
      <c r="J692" t="s">
        <v>18</v>
      </c>
      <c r="K692">
        <v>1</v>
      </c>
      <c r="L692" t="s">
        <v>22</v>
      </c>
      <c r="M692" t="s">
        <v>32</v>
      </c>
      <c r="N692">
        <v>45</v>
      </c>
      <c r="O692" t="s">
        <v>18</v>
      </c>
    </row>
    <row r="693" spans="1:15" x14ac:dyDescent="0.2">
      <c r="A693">
        <v>23144</v>
      </c>
      <c r="B693" t="s">
        <v>34</v>
      </c>
      <c r="C693" s="16" t="str">
        <f t="shared" si="20"/>
        <v>Married</v>
      </c>
      <c r="D693" t="s">
        <v>34</v>
      </c>
      <c r="E693" s="16" t="str">
        <f t="shared" si="21"/>
        <v>Male</v>
      </c>
      <c r="F693" s="1">
        <v>50000</v>
      </c>
      <c r="G693">
        <v>1</v>
      </c>
      <c r="H693" t="s">
        <v>13</v>
      </c>
      <c r="I693" t="s">
        <v>14</v>
      </c>
      <c r="J693" t="s">
        <v>15</v>
      </c>
      <c r="K693">
        <v>0</v>
      </c>
      <c r="L693" t="s">
        <v>16</v>
      </c>
      <c r="M693" t="s">
        <v>32</v>
      </c>
      <c r="N693">
        <v>34</v>
      </c>
      <c r="O693" t="s">
        <v>15</v>
      </c>
    </row>
    <row r="694" spans="1:15" x14ac:dyDescent="0.2">
      <c r="A694">
        <v>23376</v>
      </c>
      <c r="B694" t="s">
        <v>34</v>
      </c>
      <c r="C694" s="16" t="str">
        <f t="shared" si="20"/>
        <v>Married</v>
      </c>
      <c r="D694" t="s">
        <v>34</v>
      </c>
      <c r="E694" s="16" t="str">
        <f t="shared" si="21"/>
        <v>Male</v>
      </c>
      <c r="F694" s="1">
        <v>70000</v>
      </c>
      <c r="G694">
        <v>1</v>
      </c>
      <c r="H694" t="s">
        <v>13</v>
      </c>
      <c r="I694" t="s">
        <v>21</v>
      </c>
      <c r="J694" t="s">
        <v>15</v>
      </c>
      <c r="K694">
        <v>1</v>
      </c>
      <c r="L694" t="s">
        <v>22</v>
      </c>
      <c r="M694" t="s">
        <v>32</v>
      </c>
      <c r="N694">
        <v>44</v>
      </c>
      <c r="O694" t="s">
        <v>15</v>
      </c>
    </row>
    <row r="695" spans="1:15" x14ac:dyDescent="0.2">
      <c r="A695">
        <v>25970</v>
      </c>
      <c r="B695" t="s">
        <v>35</v>
      </c>
      <c r="C695" s="16" t="str">
        <f t="shared" si="20"/>
        <v>Single</v>
      </c>
      <c r="D695" t="s">
        <v>33</v>
      </c>
      <c r="E695" s="16" t="str">
        <f t="shared" si="21"/>
        <v>Female</v>
      </c>
      <c r="F695" s="1">
        <v>60000</v>
      </c>
      <c r="G695">
        <v>4</v>
      </c>
      <c r="H695" t="s">
        <v>13</v>
      </c>
      <c r="I695" t="s">
        <v>14</v>
      </c>
      <c r="J695" t="s">
        <v>18</v>
      </c>
      <c r="K695">
        <v>2</v>
      </c>
      <c r="L695" t="s">
        <v>16</v>
      </c>
      <c r="M695" t="s">
        <v>32</v>
      </c>
      <c r="N695">
        <v>41</v>
      </c>
      <c r="O695" t="s">
        <v>15</v>
      </c>
    </row>
    <row r="696" spans="1:15" x14ac:dyDescent="0.2">
      <c r="A696">
        <v>28068</v>
      </c>
      <c r="B696" t="s">
        <v>35</v>
      </c>
      <c r="C696" s="16" t="str">
        <f t="shared" si="20"/>
        <v>Single</v>
      </c>
      <c r="D696" t="s">
        <v>33</v>
      </c>
      <c r="E696" s="16" t="str">
        <f t="shared" si="21"/>
        <v>Female</v>
      </c>
      <c r="F696" s="1">
        <v>80000</v>
      </c>
      <c r="G696">
        <v>3</v>
      </c>
      <c r="H696" t="s">
        <v>31</v>
      </c>
      <c r="I696" t="s">
        <v>21</v>
      </c>
      <c r="J696" t="s">
        <v>18</v>
      </c>
      <c r="K696">
        <v>0</v>
      </c>
      <c r="L696" t="s">
        <v>16</v>
      </c>
      <c r="M696" t="s">
        <v>32</v>
      </c>
      <c r="N696">
        <v>36</v>
      </c>
      <c r="O696" t="s">
        <v>15</v>
      </c>
    </row>
    <row r="697" spans="1:15" x14ac:dyDescent="0.2">
      <c r="A697">
        <v>18390</v>
      </c>
      <c r="B697" t="s">
        <v>34</v>
      </c>
      <c r="C697" s="16" t="str">
        <f t="shared" si="20"/>
        <v>Married</v>
      </c>
      <c r="D697" t="s">
        <v>34</v>
      </c>
      <c r="E697" s="16" t="str">
        <f t="shared" si="21"/>
        <v>Male</v>
      </c>
      <c r="F697" s="1">
        <v>80000</v>
      </c>
      <c r="G697">
        <v>5</v>
      </c>
      <c r="H697" t="s">
        <v>19</v>
      </c>
      <c r="I697" t="s">
        <v>21</v>
      </c>
      <c r="J697" t="s">
        <v>15</v>
      </c>
      <c r="K697">
        <v>2</v>
      </c>
      <c r="L697" t="s">
        <v>16</v>
      </c>
      <c r="M697" t="s">
        <v>32</v>
      </c>
      <c r="N697">
        <v>44</v>
      </c>
      <c r="O697" t="s">
        <v>18</v>
      </c>
    </row>
    <row r="698" spans="1:15" x14ac:dyDescent="0.2">
      <c r="A698">
        <v>29112</v>
      </c>
      <c r="B698" t="s">
        <v>35</v>
      </c>
      <c r="C698" s="16" t="str">
        <f t="shared" si="20"/>
        <v>Single</v>
      </c>
      <c r="D698" t="s">
        <v>34</v>
      </c>
      <c r="E698" s="16" t="str">
        <f t="shared" si="21"/>
        <v>Male</v>
      </c>
      <c r="F698" s="1">
        <v>60000</v>
      </c>
      <c r="G698">
        <v>0</v>
      </c>
      <c r="H698" t="s">
        <v>19</v>
      </c>
      <c r="I698" t="s">
        <v>21</v>
      </c>
      <c r="J698" t="s">
        <v>18</v>
      </c>
      <c r="K698">
        <v>2</v>
      </c>
      <c r="L698" t="s">
        <v>26</v>
      </c>
      <c r="M698" t="s">
        <v>32</v>
      </c>
      <c r="N698">
        <v>30</v>
      </c>
      <c r="O698" t="s">
        <v>18</v>
      </c>
    </row>
    <row r="699" spans="1:15" x14ac:dyDescent="0.2">
      <c r="A699">
        <v>14090</v>
      </c>
      <c r="B699" t="s">
        <v>34</v>
      </c>
      <c r="C699" s="16" t="str">
        <f t="shared" si="20"/>
        <v>Married</v>
      </c>
      <c r="D699" t="s">
        <v>33</v>
      </c>
      <c r="E699" s="16" t="str">
        <f t="shared" si="21"/>
        <v>Female</v>
      </c>
      <c r="F699" s="1">
        <v>30000</v>
      </c>
      <c r="G699">
        <v>0</v>
      </c>
      <c r="H699" t="s">
        <v>29</v>
      </c>
      <c r="I699" t="s">
        <v>20</v>
      </c>
      <c r="J699" t="s">
        <v>18</v>
      </c>
      <c r="K699">
        <v>2</v>
      </c>
      <c r="L699" t="s">
        <v>16</v>
      </c>
      <c r="M699" t="s">
        <v>32</v>
      </c>
      <c r="N699">
        <v>28</v>
      </c>
      <c r="O699" t="s">
        <v>18</v>
      </c>
    </row>
    <row r="700" spans="1:15" x14ac:dyDescent="0.2">
      <c r="A700">
        <v>27040</v>
      </c>
      <c r="B700" t="s">
        <v>34</v>
      </c>
      <c r="C700" s="16" t="str">
        <f t="shared" si="20"/>
        <v>Married</v>
      </c>
      <c r="D700" t="s">
        <v>34</v>
      </c>
      <c r="E700" s="16" t="str">
        <f t="shared" si="21"/>
        <v>Male</v>
      </c>
      <c r="F700" s="1">
        <v>20000</v>
      </c>
      <c r="G700">
        <v>2</v>
      </c>
      <c r="H700" t="s">
        <v>29</v>
      </c>
      <c r="I700" t="s">
        <v>20</v>
      </c>
      <c r="J700" t="s">
        <v>15</v>
      </c>
      <c r="K700">
        <v>2</v>
      </c>
      <c r="L700" t="s">
        <v>26</v>
      </c>
      <c r="M700" t="s">
        <v>32</v>
      </c>
      <c r="N700">
        <v>49</v>
      </c>
      <c r="O700" t="s">
        <v>18</v>
      </c>
    </row>
    <row r="701" spans="1:15" x14ac:dyDescent="0.2">
      <c r="A701">
        <v>23479</v>
      </c>
      <c r="B701" t="s">
        <v>35</v>
      </c>
      <c r="C701" s="16" t="str">
        <f t="shared" si="20"/>
        <v>Single</v>
      </c>
      <c r="D701" t="s">
        <v>34</v>
      </c>
      <c r="E701" s="16" t="str">
        <f t="shared" si="21"/>
        <v>Male</v>
      </c>
      <c r="F701" s="1">
        <v>90000</v>
      </c>
      <c r="G701">
        <v>0</v>
      </c>
      <c r="H701" t="s">
        <v>19</v>
      </c>
      <c r="I701" t="s">
        <v>21</v>
      </c>
      <c r="J701" t="s">
        <v>18</v>
      </c>
      <c r="K701">
        <v>2</v>
      </c>
      <c r="L701" t="s">
        <v>16</v>
      </c>
      <c r="M701" t="s">
        <v>32</v>
      </c>
      <c r="N701">
        <v>43</v>
      </c>
      <c r="O701" t="s">
        <v>15</v>
      </c>
    </row>
    <row r="702" spans="1:15" x14ac:dyDescent="0.2">
      <c r="A702">
        <v>16795</v>
      </c>
      <c r="B702" t="s">
        <v>34</v>
      </c>
      <c r="C702" s="16" t="str">
        <f t="shared" si="20"/>
        <v>Married</v>
      </c>
      <c r="D702" t="s">
        <v>33</v>
      </c>
      <c r="E702" s="16" t="str">
        <f t="shared" si="21"/>
        <v>Female</v>
      </c>
      <c r="F702" s="1">
        <v>70000</v>
      </c>
      <c r="G702">
        <v>4</v>
      </c>
      <c r="H702" t="s">
        <v>13</v>
      </c>
      <c r="I702" t="s">
        <v>28</v>
      </c>
      <c r="J702" t="s">
        <v>15</v>
      </c>
      <c r="K702">
        <v>1</v>
      </c>
      <c r="L702" t="s">
        <v>26</v>
      </c>
      <c r="M702" t="s">
        <v>32</v>
      </c>
      <c r="N702">
        <v>59</v>
      </c>
      <c r="O702" t="s">
        <v>18</v>
      </c>
    </row>
    <row r="703" spans="1:15" x14ac:dyDescent="0.2">
      <c r="A703">
        <v>22014</v>
      </c>
      <c r="B703" t="s">
        <v>35</v>
      </c>
      <c r="C703" s="16" t="str">
        <f t="shared" si="20"/>
        <v>Single</v>
      </c>
      <c r="D703" t="s">
        <v>34</v>
      </c>
      <c r="E703" s="16" t="str">
        <f t="shared" si="21"/>
        <v>Male</v>
      </c>
      <c r="F703" s="1">
        <v>30000</v>
      </c>
      <c r="G703">
        <v>0</v>
      </c>
      <c r="H703" t="s">
        <v>27</v>
      </c>
      <c r="I703" t="s">
        <v>14</v>
      </c>
      <c r="J703" t="s">
        <v>15</v>
      </c>
      <c r="K703">
        <v>2</v>
      </c>
      <c r="L703" t="s">
        <v>23</v>
      </c>
      <c r="M703" t="s">
        <v>32</v>
      </c>
      <c r="N703">
        <v>26</v>
      </c>
      <c r="O703" t="s">
        <v>18</v>
      </c>
    </row>
    <row r="704" spans="1:15" x14ac:dyDescent="0.2">
      <c r="A704">
        <v>13314</v>
      </c>
      <c r="B704" t="s">
        <v>34</v>
      </c>
      <c r="C704" s="16" t="str">
        <f t="shared" si="20"/>
        <v>Married</v>
      </c>
      <c r="D704" t="s">
        <v>34</v>
      </c>
      <c r="E704" s="16" t="str">
        <f t="shared" si="21"/>
        <v>Male</v>
      </c>
      <c r="F704" s="1">
        <v>120000</v>
      </c>
      <c r="G704">
        <v>1</v>
      </c>
      <c r="H704" t="s">
        <v>27</v>
      </c>
      <c r="I704" t="s">
        <v>21</v>
      </c>
      <c r="J704" t="s">
        <v>15</v>
      </c>
      <c r="K704">
        <v>4</v>
      </c>
      <c r="L704" t="s">
        <v>23</v>
      </c>
      <c r="M704" t="s">
        <v>32</v>
      </c>
      <c r="N704">
        <v>46</v>
      </c>
      <c r="O704" t="s">
        <v>15</v>
      </c>
    </row>
    <row r="705" spans="1:15" x14ac:dyDescent="0.2">
      <c r="A705">
        <v>11619</v>
      </c>
      <c r="B705" t="s">
        <v>35</v>
      </c>
      <c r="C705" s="16" t="str">
        <f t="shared" si="20"/>
        <v>Single</v>
      </c>
      <c r="D705" t="s">
        <v>33</v>
      </c>
      <c r="E705" s="16" t="str">
        <f t="shared" si="21"/>
        <v>Female</v>
      </c>
      <c r="F705" s="1">
        <v>50000</v>
      </c>
      <c r="G705">
        <v>0</v>
      </c>
      <c r="H705" t="s">
        <v>31</v>
      </c>
      <c r="I705" t="s">
        <v>14</v>
      </c>
      <c r="J705" t="s">
        <v>15</v>
      </c>
      <c r="K705">
        <v>0</v>
      </c>
      <c r="L705" t="s">
        <v>26</v>
      </c>
      <c r="M705" t="s">
        <v>32</v>
      </c>
      <c r="N705">
        <v>33</v>
      </c>
      <c r="O705" t="s">
        <v>18</v>
      </c>
    </row>
    <row r="706" spans="1:15" x14ac:dyDescent="0.2">
      <c r="A706">
        <v>29132</v>
      </c>
      <c r="B706" t="s">
        <v>35</v>
      </c>
      <c r="C706" s="16" t="str">
        <f t="shared" ref="C706:C769" si="22">IF(B706="M","Married","Single")</f>
        <v>Single</v>
      </c>
      <c r="D706" t="s">
        <v>33</v>
      </c>
      <c r="E706" s="16" t="str">
        <f t="shared" ref="E706:E769" si="23">IF(D706="F","Female","Male")</f>
        <v>Female</v>
      </c>
      <c r="F706" s="1">
        <v>40000</v>
      </c>
      <c r="G706">
        <v>0</v>
      </c>
      <c r="H706" t="s">
        <v>13</v>
      </c>
      <c r="I706" t="s">
        <v>21</v>
      </c>
      <c r="J706" t="s">
        <v>15</v>
      </c>
      <c r="K706">
        <v>1</v>
      </c>
      <c r="L706" t="s">
        <v>22</v>
      </c>
      <c r="M706" t="s">
        <v>32</v>
      </c>
      <c r="N706">
        <v>42</v>
      </c>
      <c r="O706" t="s">
        <v>15</v>
      </c>
    </row>
    <row r="707" spans="1:15" x14ac:dyDescent="0.2">
      <c r="A707">
        <v>11199</v>
      </c>
      <c r="B707" t="s">
        <v>34</v>
      </c>
      <c r="C707" s="16" t="str">
        <f t="shared" si="22"/>
        <v>Married</v>
      </c>
      <c r="D707" t="s">
        <v>33</v>
      </c>
      <c r="E707" s="16" t="str">
        <f t="shared" si="23"/>
        <v>Female</v>
      </c>
      <c r="F707" s="1">
        <v>70000</v>
      </c>
      <c r="G707">
        <v>4</v>
      </c>
      <c r="H707" t="s">
        <v>13</v>
      </c>
      <c r="I707" t="s">
        <v>28</v>
      </c>
      <c r="J707" t="s">
        <v>15</v>
      </c>
      <c r="K707">
        <v>1</v>
      </c>
      <c r="L707" t="s">
        <v>30</v>
      </c>
      <c r="M707" t="s">
        <v>32</v>
      </c>
      <c r="N707">
        <v>59</v>
      </c>
      <c r="O707" t="s">
        <v>18</v>
      </c>
    </row>
    <row r="708" spans="1:15" x14ac:dyDescent="0.2">
      <c r="A708">
        <v>20296</v>
      </c>
      <c r="B708" t="s">
        <v>35</v>
      </c>
      <c r="C708" s="16" t="str">
        <f t="shared" si="22"/>
        <v>Single</v>
      </c>
      <c r="D708" t="s">
        <v>33</v>
      </c>
      <c r="E708" s="16" t="str">
        <f t="shared" si="23"/>
        <v>Female</v>
      </c>
      <c r="F708" s="1">
        <v>60000</v>
      </c>
      <c r="G708">
        <v>0</v>
      </c>
      <c r="H708" t="s">
        <v>19</v>
      </c>
      <c r="I708" t="s">
        <v>14</v>
      </c>
      <c r="J708" t="s">
        <v>18</v>
      </c>
      <c r="K708">
        <v>1</v>
      </c>
      <c r="L708" t="s">
        <v>26</v>
      </c>
      <c r="M708" t="s">
        <v>32</v>
      </c>
      <c r="N708">
        <v>33</v>
      </c>
      <c r="O708" t="s">
        <v>15</v>
      </c>
    </row>
    <row r="709" spans="1:15" x14ac:dyDescent="0.2">
      <c r="A709">
        <v>17546</v>
      </c>
      <c r="B709" t="s">
        <v>34</v>
      </c>
      <c r="C709" s="16" t="str">
        <f t="shared" si="22"/>
        <v>Married</v>
      </c>
      <c r="D709" t="s">
        <v>33</v>
      </c>
      <c r="E709" s="16" t="str">
        <f t="shared" si="23"/>
        <v>Female</v>
      </c>
      <c r="F709" s="1">
        <v>70000</v>
      </c>
      <c r="G709">
        <v>1</v>
      </c>
      <c r="H709" t="s">
        <v>19</v>
      </c>
      <c r="I709" t="s">
        <v>14</v>
      </c>
      <c r="J709" t="s">
        <v>15</v>
      </c>
      <c r="K709">
        <v>1</v>
      </c>
      <c r="L709" t="s">
        <v>16</v>
      </c>
      <c r="M709" t="s">
        <v>32</v>
      </c>
      <c r="N709">
        <v>44</v>
      </c>
      <c r="O709" t="s">
        <v>15</v>
      </c>
    </row>
    <row r="710" spans="1:15" x14ac:dyDescent="0.2">
      <c r="A710">
        <v>18069</v>
      </c>
      <c r="B710" t="s">
        <v>34</v>
      </c>
      <c r="C710" s="16" t="str">
        <f t="shared" si="22"/>
        <v>Married</v>
      </c>
      <c r="D710" t="s">
        <v>34</v>
      </c>
      <c r="E710" s="16" t="str">
        <f t="shared" si="23"/>
        <v>Male</v>
      </c>
      <c r="F710" s="1">
        <v>70000</v>
      </c>
      <c r="G710">
        <v>5</v>
      </c>
      <c r="H710" t="s">
        <v>13</v>
      </c>
      <c r="I710" t="s">
        <v>28</v>
      </c>
      <c r="J710" t="s">
        <v>15</v>
      </c>
      <c r="K710">
        <v>4</v>
      </c>
      <c r="L710" t="s">
        <v>30</v>
      </c>
      <c r="M710" t="s">
        <v>32</v>
      </c>
      <c r="N710">
        <v>60</v>
      </c>
      <c r="O710" t="s">
        <v>18</v>
      </c>
    </row>
    <row r="711" spans="1:15" x14ac:dyDescent="0.2">
      <c r="A711">
        <v>23712</v>
      </c>
      <c r="B711" t="s">
        <v>35</v>
      </c>
      <c r="C711" s="16" t="str">
        <f t="shared" si="22"/>
        <v>Single</v>
      </c>
      <c r="D711" t="s">
        <v>33</v>
      </c>
      <c r="E711" s="16" t="str">
        <f t="shared" si="23"/>
        <v>Female</v>
      </c>
      <c r="F711" s="1">
        <v>70000</v>
      </c>
      <c r="G711">
        <v>2</v>
      </c>
      <c r="H711" t="s">
        <v>13</v>
      </c>
      <c r="I711" t="s">
        <v>28</v>
      </c>
      <c r="J711" t="s">
        <v>15</v>
      </c>
      <c r="K711">
        <v>1</v>
      </c>
      <c r="L711" t="s">
        <v>30</v>
      </c>
      <c r="M711" t="s">
        <v>32</v>
      </c>
      <c r="N711">
        <v>59</v>
      </c>
      <c r="O711" t="s">
        <v>18</v>
      </c>
    </row>
    <row r="712" spans="1:15" x14ac:dyDescent="0.2">
      <c r="A712">
        <v>23358</v>
      </c>
      <c r="B712" t="s">
        <v>34</v>
      </c>
      <c r="C712" s="16" t="str">
        <f t="shared" si="22"/>
        <v>Married</v>
      </c>
      <c r="D712" t="s">
        <v>34</v>
      </c>
      <c r="E712" s="16" t="str">
        <f t="shared" si="23"/>
        <v>Male</v>
      </c>
      <c r="F712" s="1">
        <v>60000</v>
      </c>
      <c r="G712">
        <v>0</v>
      </c>
      <c r="H712" t="s">
        <v>27</v>
      </c>
      <c r="I712" t="s">
        <v>21</v>
      </c>
      <c r="J712" t="s">
        <v>15</v>
      </c>
      <c r="K712">
        <v>2</v>
      </c>
      <c r="L712" t="s">
        <v>23</v>
      </c>
      <c r="M712" t="s">
        <v>32</v>
      </c>
      <c r="N712">
        <v>32</v>
      </c>
      <c r="O712" t="s">
        <v>15</v>
      </c>
    </row>
    <row r="713" spans="1:15" x14ac:dyDescent="0.2">
      <c r="A713">
        <v>20518</v>
      </c>
      <c r="B713" t="s">
        <v>34</v>
      </c>
      <c r="C713" s="16" t="str">
        <f t="shared" si="22"/>
        <v>Married</v>
      </c>
      <c r="D713" t="s">
        <v>33</v>
      </c>
      <c r="E713" s="16" t="str">
        <f t="shared" si="23"/>
        <v>Female</v>
      </c>
      <c r="F713" s="1">
        <v>70000</v>
      </c>
      <c r="G713">
        <v>2</v>
      </c>
      <c r="H713" t="s">
        <v>19</v>
      </c>
      <c r="I713" t="s">
        <v>21</v>
      </c>
      <c r="J713" t="s">
        <v>15</v>
      </c>
      <c r="K713">
        <v>1</v>
      </c>
      <c r="L713" t="s">
        <v>30</v>
      </c>
      <c r="M713" t="s">
        <v>32</v>
      </c>
      <c r="N713">
        <v>58</v>
      </c>
      <c r="O713" t="s">
        <v>18</v>
      </c>
    </row>
    <row r="714" spans="1:15" x14ac:dyDescent="0.2">
      <c r="A714">
        <v>28026</v>
      </c>
      <c r="B714" t="s">
        <v>34</v>
      </c>
      <c r="C714" s="16" t="str">
        <f t="shared" si="22"/>
        <v>Married</v>
      </c>
      <c r="D714" t="s">
        <v>33</v>
      </c>
      <c r="E714" s="16" t="str">
        <f t="shared" si="23"/>
        <v>Female</v>
      </c>
      <c r="F714" s="1">
        <v>40000</v>
      </c>
      <c r="G714">
        <v>2</v>
      </c>
      <c r="H714" t="s">
        <v>27</v>
      </c>
      <c r="I714" t="s">
        <v>21</v>
      </c>
      <c r="J714" t="s">
        <v>18</v>
      </c>
      <c r="K714">
        <v>2</v>
      </c>
      <c r="L714" t="s">
        <v>22</v>
      </c>
      <c r="M714" t="s">
        <v>32</v>
      </c>
      <c r="N714">
        <v>59</v>
      </c>
      <c r="O714" t="s">
        <v>18</v>
      </c>
    </row>
    <row r="715" spans="1:15" x14ac:dyDescent="0.2">
      <c r="A715">
        <v>11669</v>
      </c>
      <c r="B715" t="s">
        <v>35</v>
      </c>
      <c r="C715" s="16" t="str">
        <f t="shared" si="22"/>
        <v>Single</v>
      </c>
      <c r="D715" t="s">
        <v>33</v>
      </c>
      <c r="E715" s="16" t="str">
        <f t="shared" si="23"/>
        <v>Female</v>
      </c>
      <c r="F715" s="1">
        <v>70000</v>
      </c>
      <c r="G715">
        <v>2</v>
      </c>
      <c r="H715" t="s">
        <v>13</v>
      </c>
      <c r="I715" t="s">
        <v>14</v>
      </c>
      <c r="J715" t="s">
        <v>15</v>
      </c>
      <c r="K715">
        <v>1</v>
      </c>
      <c r="L715" t="s">
        <v>22</v>
      </c>
      <c r="M715" t="s">
        <v>32</v>
      </c>
      <c r="N715">
        <v>38</v>
      </c>
      <c r="O715" t="s">
        <v>18</v>
      </c>
    </row>
    <row r="716" spans="1:15" x14ac:dyDescent="0.2">
      <c r="A716">
        <v>16020</v>
      </c>
      <c r="B716" t="s">
        <v>34</v>
      </c>
      <c r="C716" s="16" t="str">
        <f t="shared" si="22"/>
        <v>Married</v>
      </c>
      <c r="D716" t="s">
        <v>34</v>
      </c>
      <c r="E716" s="16" t="str">
        <f t="shared" si="23"/>
        <v>Male</v>
      </c>
      <c r="F716" s="1">
        <v>40000</v>
      </c>
      <c r="G716">
        <v>0</v>
      </c>
      <c r="H716" t="s">
        <v>27</v>
      </c>
      <c r="I716" t="s">
        <v>14</v>
      </c>
      <c r="J716" t="s">
        <v>15</v>
      </c>
      <c r="K716">
        <v>2</v>
      </c>
      <c r="L716" t="s">
        <v>23</v>
      </c>
      <c r="M716" t="s">
        <v>32</v>
      </c>
      <c r="N716">
        <v>28</v>
      </c>
      <c r="O716" t="s">
        <v>15</v>
      </c>
    </row>
    <row r="717" spans="1:15" x14ac:dyDescent="0.2">
      <c r="A717">
        <v>27090</v>
      </c>
      <c r="B717" t="s">
        <v>34</v>
      </c>
      <c r="C717" s="16" t="str">
        <f t="shared" si="22"/>
        <v>Married</v>
      </c>
      <c r="D717" t="s">
        <v>33</v>
      </c>
      <c r="E717" s="16" t="str">
        <f t="shared" si="23"/>
        <v>Female</v>
      </c>
      <c r="F717" s="1">
        <v>60000</v>
      </c>
      <c r="G717">
        <v>1</v>
      </c>
      <c r="H717" t="s">
        <v>31</v>
      </c>
      <c r="I717" t="s">
        <v>21</v>
      </c>
      <c r="J717" t="s">
        <v>15</v>
      </c>
      <c r="K717">
        <v>0</v>
      </c>
      <c r="L717" t="s">
        <v>22</v>
      </c>
      <c r="M717" t="s">
        <v>32</v>
      </c>
      <c r="N717">
        <v>37</v>
      </c>
      <c r="O717" t="s">
        <v>15</v>
      </c>
    </row>
    <row r="718" spans="1:15" x14ac:dyDescent="0.2">
      <c r="A718">
        <v>27198</v>
      </c>
      <c r="B718" t="s">
        <v>35</v>
      </c>
      <c r="C718" s="16" t="str">
        <f t="shared" si="22"/>
        <v>Single</v>
      </c>
      <c r="D718" t="s">
        <v>33</v>
      </c>
      <c r="E718" s="16" t="str">
        <f t="shared" si="23"/>
        <v>Female</v>
      </c>
      <c r="F718" s="1">
        <v>80000</v>
      </c>
      <c r="G718">
        <v>0</v>
      </c>
      <c r="H718" t="s">
        <v>31</v>
      </c>
      <c r="I718" t="s">
        <v>14</v>
      </c>
      <c r="J718" t="s">
        <v>18</v>
      </c>
      <c r="K718">
        <v>0</v>
      </c>
      <c r="L718" t="s">
        <v>16</v>
      </c>
      <c r="M718" t="s">
        <v>32</v>
      </c>
      <c r="N718">
        <v>40</v>
      </c>
      <c r="O718" t="s">
        <v>18</v>
      </c>
    </row>
    <row r="719" spans="1:15" x14ac:dyDescent="0.2">
      <c r="A719">
        <v>19661</v>
      </c>
      <c r="B719" t="s">
        <v>35</v>
      </c>
      <c r="C719" s="16" t="str">
        <f t="shared" si="22"/>
        <v>Single</v>
      </c>
      <c r="D719" t="s">
        <v>34</v>
      </c>
      <c r="E719" s="16" t="str">
        <f t="shared" si="23"/>
        <v>Male</v>
      </c>
      <c r="F719" s="1">
        <v>90000</v>
      </c>
      <c r="G719">
        <v>4</v>
      </c>
      <c r="H719" t="s">
        <v>13</v>
      </c>
      <c r="I719" t="s">
        <v>28</v>
      </c>
      <c r="J719" t="s">
        <v>15</v>
      </c>
      <c r="K719">
        <v>1</v>
      </c>
      <c r="L719" t="s">
        <v>26</v>
      </c>
      <c r="M719" t="s">
        <v>32</v>
      </c>
      <c r="N719">
        <v>38</v>
      </c>
      <c r="O719" t="s">
        <v>15</v>
      </c>
    </row>
    <row r="720" spans="1:15" x14ac:dyDescent="0.2">
      <c r="A720">
        <v>26327</v>
      </c>
      <c r="B720" t="s">
        <v>34</v>
      </c>
      <c r="C720" s="16" t="str">
        <f t="shared" si="22"/>
        <v>Married</v>
      </c>
      <c r="D720" t="s">
        <v>34</v>
      </c>
      <c r="E720" s="16" t="str">
        <f t="shared" si="23"/>
        <v>Male</v>
      </c>
      <c r="F720" s="1">
        <v>70000</v>
      </c>
      <c r="G720">
        <v>4</v>
      </c>
      <c r="H720" t="s">
        <v>31</v>
      </c>
      <c r="I720" t="s">
        <v>21</v>
      </c>
      <c r="J720" t="s">
        <v>15</v>
      </c>
      <c r="K720">
        <v>0</v>
      </c>
      <c r="L720" t="s">
        <v>22</v>
      </c>
      <c r="M720" t="s">
        <v>32</v>
      </c>
      <c r="N720">
        <v>36</v>
      </c>
      <c r="O720" t="s">
        <v>15</v>
      </c>
    </row>
    <row r="721" spans="1:15" x14ac:dyDescent="0.2">
      <c r="A721">
        <v>26341</v>
      </c>
      <c r="B721" t="s">
        <v>34</v>
      </c>
      <c r="C721" s="16" t="str">
        <f t="shared" si="22"/>
        <v>Married</v>
      </c>
      <c r="D721" t="s">
        <v>33</v>
      </c>
      <c r="E721" s="16" t="str">
        <f t="shared" si="23"/>
        <v>Female</v>
      </c>
      <c r="F721" s="1">
        <v>70000</v>
      </c>
      <c r="G721">
        <v>5</v>
      </c>
      <c r="H721" t="s">
        <v>31</v>
      </c>
      <c r="I721" t="s">
        <v>21</v>
      </c>
      <c r="J721" t="s">
        <v>15</v>
      </c>
      <c r="K721">
        <v>2</v>
      </c>
      <c r="L721" t="s">
        <v>16</v>
      </c>
      <c r="M721" t="s">
        <v>32</v>
      </c>
      <c r="N721">
        <v>37</v>
      </c>
      <c r="O721" t="s">
        <v>18</v>
      </c>
    </row>
    <row r="722" spans="1:15" x14ac:dyDescent="0.2">
      <c r="A722">
        <v>24958</v>
      </c>
      <c r="B722" t="s">
        <v>35</v>
      </c>
      <c r="C722" s="16" t="str">
        <f t="shared" si="22"/>
        <v>Single</v>
      </c>
      <c r="D722" t="s">
        <v>33</v>
      </c>
      <c r="E722" s="16" t="str">
        <f t="shared" si="23"/>
        <v>Female</v>
      </c>
      <c r="F722" s="1">
        <v>40000</v>
      </c>
      <c r="G722">
        <v>5</v>
      </c>
      <c r="H722" t="s">
        <v>27</v>
      </c>
      <c r="I722" t="s">
        <v>21</v>
      </c>
      <c r="J722" t="s">
        <v>18</v>
      </c>
      <c r="K722">
        <v>3</v>
      </c>
      <c r="L722" t="s">
        <v>22</v>
      </c>
      <c r="M722" t="s">
        <v>32</v>
      </c>
      <c r="N722">
        <v>60</v>
      </c>
      <c r="O722" t="s">
        <v>15</v>
      </c>
    </row>
    <row r="723" spans="1:15" x14ac:dyDescent="0.2">
      <c r="A723">
        <v>13287</v>
      </c>
      <c r="B723" t="s">
        <v>35</v>
      </c>
      <c r="C723" s="16" t="str">
        <f t="shared" si="22"/>
        <v>Single</v>
      </c>
      <c r="D723" t="s">
        <v>34</v>
      </c>
      <c r="E723" s="16" t="str">
        <f t="shared" si="23"/>
        <v>Male</v>
      </c>
      <c r="F723" s="1">
        <v>110000</v>
      </c>
      <c r="G723">
        <v>4</v>
      </c>
      <c r="H723" t="s">
        <v>13</v>
      </c>
      <c r="I723" t="s">
        <v>28</v>
      </c>
      <c r="J723" t="s">
        <v>15</v>
      </c>
      <c r="K723">
        <v>4</v>
      </c>
      <c r="L723" t="s">
        <v>23</v>
      </c>
      <c r="M723" t="s">
        <v>32</v>
      </c>
      <c r="N723">
        <v>42</v>
      </c>
      <c r="O723" t="s">
        <v>15</v>
      </c>
    </row>
    <row r="724" spans="1:15" x14ac:dyDescent="0.2">
      <c r="A724">
        <v>14493</v>
      </c>
      <c r="B724" t="s">
        <v>35</v>
      </c>
      <c r="C724" s="16" t="str">
        <f t="shared" si="22"/>
        <v>Single</v>
      </c>
      <c r="D724" t="s">
        <v>33</v>
      </c>
      <c r="E724" s="16" t="str">
        <f t="shared" si="23"/>
        <v>Female</v>
      </c>
      <c r="F724" s="1">
        <v>70000</v>
      </c>
      <c r="G724">
        <v>3</v>
      </c>
      <c r="H724" t="s">
        <v>31</v>
      </c>
      <c r="I724" t="s">
        <v>28</v>
      </c>
      <c r="J724" t="s">
        <v>18</v>
      </c>
      <c r="K724">
        <v>2</v>
      </c>
      <c r="L724" t="s">
        <v>26</v>
      </c>
      <c r="M724" t="s">
        <v>32</v>
      </c>
      <c r="N724">
        <v>53</v>
      </c>
      <c r="O724" t="s">
        <v>18</v>
      </c>
    </row>
    <row r="725" spans="1:15" x14ac:dyDescent="0.2">
      <c r="A725">
        <v>26678</v>
      </c>
      <c r="B725" t="s">
        <v>35</v>
      </c>
      <c r="C725" s="16" t="str">
        <f t="shared" si="22"/>
        <v>Single</v>
      </c>
      <c r="D725" t="s">
        <v>33</v>
      </c>
      <c r="E725" s="16" t="str">
        <f t="shared" si="23"/>
        <v>Female</v>
      </c>
      <c r="F725" s="1">
        <v>80000</v>
      </c>
      <c r="G725">
        <v>2</v>
      </c>
      <c r="H725" t="s">
        <v>29</v>
      </c>
      <c r="I725" t="s">
        <v>14</v>
      </c>
      <c r="J725" t="s">
        <v>15</v>
      </c>
      <c r="K725">
        <v>2</v>
      </c>
      <c r="L725" t="s">
        <v>23</v>
      </c>
      <c r="M725" t="s">
        <v>32</v>
      </c>
      <c r="N725">
        <v>49</v>
      </c>
      <c r="O725" t="s">
        <v>18</v>
      </c>
    </row>
    <row r="726" spans="1:15" x14ac:dyDescent="0.2">
      <c r="A726">
        <v>23275</v>
      </c>
      <c r="B726" t="s">
        <v>34</v>
      </c>
      <c r="C726" s="16" t="str">
        <f t="shared" si="22"/>
        <v>Married</v>
      </c>
      <c r="D726" t="s">
        <v>34</v>
      </c>
      <c r="E726" s="16" t="str">
        <f t="shared" si="23"/>
        <v>Male</v>
      </c>
      <c r="F726" s="1">
        <v>30000</v>
      </c>
      <c r="G726">
        <v>2</v>
      </c>
      <c r="H726" t="s">
        <v>27</v>
      </c>
      <c r="I726" t="s">
        <v>14</v>
      </c>
      <c r="J726" t="s">
        <v>15</v>
      </c>
      <c r="K726">
        <v>2</v>
      </c>
      <c r="L726" t="s">
        <v>26</v>
      </c>
      <c r="M726" t="s">
        <v>32</v>
      </c>
      <c r="N726">
        <v>49</v>
      </c>
      <c r="O726" t="s">
        <v>18</v>
      </c>
    </row>
    <row r="727" spans="1:15" x14ac:dyDescent="0.2">
      <c r="A727">
        <v>11270</v>
      </c>
      <c r="B727" t="s">
        <v>34</v>
      </c>
      <c r="C727" s="16" t="str">
        <f t="shared" si="22"/>
        <v>Married</v>
      </c>
      <c r="D727" t="s">
        <v>34</v>
      </c>
      <c r="E727" s="16" t="str">
        <f t="shared" si="23"/>
        <v>Male</v>
      </c>
      <c r="F727" s="1">
        <v>130000</v>
      </c>
      <c r="G727">
        <v>2</v>
      </c>
      <c r="H727" t="s">
        <v>31</v>
      </c>
      <c r="I727" t="s">
        <v>28</v>
      </c>
      <c r="J727" t="s">
        <v>15</v>
      </c>
      <c r="K727">
        <v>3</v>
      </c>
      <c r="L727" t="s">
        <v>16</v>
      </c>
      <c r="M727" t="s">
        <v>32</v>
      </c>
      <c r="N727">
        <v>42</v>
      </c>
      <c r="O727" t="s">
        <v>15</v>
      </c>
    </row>
    <row r="728" spans="1:15" x14ac:dyDescent="0.2">
      <c r="A728">
        <v>20084</v>
      </c>
      <c r="B728" t="s">
        <v>34</v>
      </c>
      <c r="C728" s="16" t="str">
        <f t="shared" si="22"/>
        <v>Married</v>
      </c>
      <c r="D728" t="s">
        <v>34</v>
      </c>
      <c r="E728" s="16" t="str">
        <f t="shared" si="23"/>
        <v>Male</v>
      </c>
      <c r="F728" s="1">
        <v>20000</v>
      </c>
      <c r="G728">
        <v>2</v>
      </c>
      <c r="H728" t="s">
        <v>27</v>
      </c>
      <c r="I728" t="s">
        <v>25</v>
      </c>
      <c r="J728" t="s">
        <v>18</v>
      </c>
      <c r="K728">
        <v>2</v>
      </c>
      <c r="L728" t="s">
        <v>16</v>
      </c>
      <c r="M728" t="s">
        <v>32</v>
      </c>
      <c r="N728">
        <v>53</v>
      </c>
      <c r="O728" t="s">
        <v>18</v>
      </c>
    </row>
    <row r="729" spans="1:15" x14ac:dyDescent="0.2">
      <c r="A729">
        <v>16144</v>
      </c>
      <c r="B729" t="s">
        <v>34</v>
      </c>
      <c r="C729" s="16" t="str">
        <f t="shared" si="22"/>
        <v>Married</v>
      </c>
      <c r="D729" t="s">
        <v>34</v>
      </c>
      <c r="E729" s="16" t="str">
        <f t="shared" si="23"/>
        <v>Male</v>
      </c>
      <c r="F729" s="1">
        <v>70000</v>
      </c>
      <c r="G729">
        <v>1</v>
      </c>
      <c r="H729" t="s">
        <v>31</v>
      </c>
      <c r="I729" t="s">
        <v>21</v>
      </c>
      <c r="J729" t="s">
        <v>15</v>
      </c>
      <c r="K729">
        <v>1</v>
      </c>
      <c r="L729" t="s">
        <v>16</v>
      </c>
      <c r="M729" t="s">
        <v>32</v>
      </c>
      <c r="N729">
        <v>46</v>
      </c>
      <c r="O729" t="s">
        <v>15</v>
      </c>
    </row>
    <row r="730" spans="1:15" x14ac:dyDescent="0.2">
      <c r="A730">
        <v>27731</v>
      </c>
      <c r="B730" t="s">
        <v>34</v>
      </c>
      <c r="C730" s="16" t="str">
        <f t="shared" si="22"/>
        <v>Married</v>
      </c>
      <c r="D730" t="s">
        <v>34</v>
      </c>
      <c r="E730" s="16" t="str">
        <f t="shared" si="23"/>
        <v>Male</v>
      </c>
      <c r="F730" s="1">
        <v>40000</v>
      </c>
      <c r="G730">
        <v>0</v>
      </c>
      <c r="H730" t="s">
        <v>27</v>
      </c>
      <c r="I730" t="s">
        <v>14</v>
      </c>
      <c r="J730" t="s">
        <v>15</v>
      </c>
      <c r="K730">
        <v>2</v>
      </c>
      <c r="L730" t="s">
        <v>23</v>
      </c>
      <c r="M730" t="s">
        <v>32</v>
      </c>
      <c r="N730">
        <v>27</v>
      </c>
      <c r="O730" t="s">
        <v>18</v>
      </c>
    </row>
    <row r="731" spans="1:15" x14ac:dyDescent="0.2">
      <c r="A731">
        <v>11886</v>
      </c>
      <c r="B731" t="s">
        <v>34</v>
      </c>
      <c r="C731" s="16" t="str">
        <f t="shared" si="22"/>
        <v>Married</v>
      </c>
      <c r="D731" t="s">
        <v>33</v>
      </c>
      <c r="E731" s="16" t="str">
        <f t="shared" si="23"/>
        <v>Female</v>
      </c>
      <c r="F731" s="1">
        <v>60000</v>
      </c>
      <c r="G731">
        <v>3</v>
      </c>
      <c r="H731" t="s">
        <v>13</v>
      </c>
      <c r="I731" t="s">
        <v>21</v>
      </c>
      <c r="J731" t="s">
        <v>15</v>
      </c>
      <c r="K731">
        <v>1</v>
      </c>
      <c r="L731" t="s">
        <v>16</v>
      </c>
      <c r="M731" t="s">
        <v>32</v>
      </c>
      <c r="N731">
        <v>48</v>
      </c>
      <c r="O731" t="s">
        <v>15</v>
      </c>
    </row>
    <row r="732" spans="1:15" x14ac:dyDescent="0.2">
      <c r="A732">
        <v>24324</v>
      </c>
      <c r="B732" t="s">
        <v>35</v>
      </c>
      <c r="C732" s="16" t="str">
        <f t="shared" si="22"/>
        <v>Single</v>
      </c>
      <c r="D732" t="s">
        <v>33</v>
      </c>
      <c r="E732" s="16" t="str">
        <f t="shared" si="23"/>
        <v>Female</v>
      </c>
      <c r="F732" s="1">
        <v>60000</v>
      </c>
      <c r="G732">
        <v>4</v>
      </c>
      <c r="H732" t="s">
        <v>13</v>
      </c>
      <c r="I732" t="s">
        <v>14</v>
      </c>
      <c r="J732" t="s">
        <v>15</v>
      </c>
      <c r="K732">
        <v>2</v>
      </c>
      <c r="L732" t="s">
        <v>22</v>
      </c>
      <c r="M732" t="s">
        <v>32</v>
      </c>
      <c r="N732">
        <v>41</v>
      </c>
      <c r="O732" t="s">
        <v>15</v>
      </c>
    </row>
    <row r="733" spans="1:15" x14ac:dyDescent="0.2">
      <c r="A733">
        <v>22220</v>
      </c>
      <c r="B733" t="s">
        <v>34</v>
      </c>
      <c r="C733" s="16" t="str">
        <f t="shared" si="22"/>
        <v>Married</v>
      </c>
      <c r="D733" t="s">
        <v>34</v>
      </c>
      <c r="E733" s="16" t="str">
        <f t="shared" si="23"/>
        <v>Male</v>
      </c>
      <c r="F733" s="1">
        <v>60000</v>
      </c>
      <c r="G733">
        <v>2</v>
      </c>
      <c r="H733" t="s">
        <v>27</v>
      </c>
      <c r="I733" t="s">
        <v>21</v>
      </c>
      <c r="J733" t="s">
        <v>18</v>
      </c>
      <c r="K733">
        <v>2</v>
      </c>
      <c r="L733" t="s">
        <v>26</v>
      </c>
      <c r="M733" t="s">
        <v>32</v>
      </c>
      <c r="N733">
        <v>49</v>
      </c>
      <c r="O733" t="s">
        <v>15</v>
      </c>
    </row>
    <row r="734" spans="1:15" x14ac:dyDescent="0.2">
      <c r="A734">
        <v>26625</v>
      </c>
      <c r="B734" t="s">
        <v>35</v>
      </c>
      <c r="C734" s="16" t="str">
        <f t="shared" si="22"/>
        <v>Single</v>
      </c>
      <c r="D734" t="s">
        <v>33</v>
      </c>
      <c r="E734" s="16" t="str">
        <f t="shared" si="23"/>
        <v>Female</v>
      </c>
      <c r="F734" s="1">
        <v>60000</v>
      </c>
      <c r="G734">
        <v>0</v>
      </c>
      <c r="H734" t="s">
        <v>31</v>
      </c>
      <c r="I734" t="s">
        <v>21</v>
      </c>
      <c r="J734" t="s">
        <v>15</v>
      </c>
      <c r="K734">
        <v>1</v>
      </c>
      <c r="L734" t="s">
        <v>22</v>
      </c>
      <c r="M734" t="s">
        <v>32</v>
      </c>
      <c r="N734">
        <v>38</v>
      </c>
      <c r="O734" t="s">
        <v>15</v>
      </c>
    </row>
    <row r="735" spans="1:15" x14ac:dyDescent="0.2">
      <c r="A735">
        <v>23027</v>
      </c>
      <c r="B735" t="s">
        <v>35</v>
      </c>
      <c r="C735" s="16" t="str">
        <f t="shared" si="22"/>
        <v>Single</v>
      </c>
      <c r="D735" t="s">
        <v>34</v>
      </c>
      <c r="E735" s="16" t="str">
        <f t="shared" si="23"/>
        <v>Male</v>
      </c>
      <c r="F735" s="1">
        <v>130000</v>
      </c>
      <c r="G735">
        <v>1</v>
      </c>
      <c r="H735" t="s">
        <v>13</v>
      </c>
      <c r="I735" t="s">
        <v>28</v>
      </c>
      <c r="J735" t="s">
        <v>18</v>
      </c>
      <c r="K735">
        <v>4</v>
      </c>
      <c r="L735" t="s">
        <v>16</v>
      </c>
      <c r="M735" t="s">
        <v>32</v>
      </c>
      <c r="N735">
        <v>44</v>
      </c>
      <c r="O735" t="s">
        <v>18</v>
      </c>
    </row>
    <row r="736" spans="1:15" x14ac:dyDescent="0.2">
      <c r="A736">
        <v>16867</v>
      </c>
      <c r="B736" t="s">
        <v>35</v>
      </c>
      <c r="C736" s="16" t="str">
        <f t="shared" si="22"/>
        <v>Single</v>
      </c>
      <c r="D736" t="s">
        <v>33</v>
      </c>
      <c r="E736" s="16" t="str">
        <f t="shared" si="23"/>
        <v>Female</v>
      </c>
      <c r="F736" s="1">
        <v>130000</v>
      </c>
      <c r="G736">
        <v>1</v>
      </c>
      <c r="H736" t="s">
        <v>13</v>
      </c>
      <c r="I736" t="s">
        <v>28</v>
      </c>
      <c r="J736" t="s">
        <v>18</v>
      </c>
      <c r="K736">
        <v>3</v>
      </c>
      <c r="L736" t="s">
        <v>16</v>
      </c>
      <c r="M736" t="s">
        <v>32</v>
      </c>
      <c r="N736">
        <v>45</v>
      </c>
      <c r="O736" t="s">
        <v>15</v>
      </c>
    </row>
    <row r="737" spans="1:15" x14ac:dyDescent="0.2">
      <c r="A737">
        <v>14514</v>
      </c>
      <c r="B737" t="s">
        <v>35</v>
      </c>
      <c r="C737" s="16" t="str">
        <f t="shared" si="22"/>
        <v>Single</v>
      </c>
      <c r="D737" t="s">
        <v>33</v>
      </c>
      <c r="E737" s="16" t="str">
        <f t="shared" si="23"/>
        <v>Female</v>
      </c>
      <c r="F737" s="1">
        <v>30000</v>
      </c>
      <c r="G737">
        <v>0</v>
      </c>
      <c r="H737" t="s">
        <v>19</v>
      </c>
      <c r="I737" t="s">
        <v>14</v>
      </c>
      <c r="J737" t="s">
        <v>15</v>
      </c>
      <c r="K737">
        <v>1</v>
      </c>
      <c r="L737" t="s">
        <v>23</v>
      </c>
      <c r="M737" t="s">
        <v>32</v>
      </c>
      <c r="N737">
        <v>26</v>
      </c>
      <c r="O737" t="s">
        <v>18</v>
      </c>
    </row>
    <row r="738" spans="1:15" x14ac:dyDescent="0.2">
      <c r="A738">
        <v>19634</v>
      </c>
      <c r="B738" t="s">
        <v>34</v>
      </c>
      <c r="C738" s="16" t="str">
        <f t="shared" si="22"/>
        <v>Married</v>
      </c>
      <c r="D738" t="s">
        <v>34</v>
      </c>
      <c r="E738" s="16" t="str">
        <f t="shared" si="23"/>
        <v>Male</v>
      </c>
      <c r="F738" s="1">
        <v>40000</v>
      </c>
      <c r="G738">
        <v>0</v>
      </c>
      <c r="H738" t="s">
        <v>27</v>
      </c>
      <c r="I738" t="s">
        <v>14</v>
      </c>
      <c r="J738" t="s">
        <v>15</v>
      </c>
      <c r="K738">
        <v>1</v>
      </c>
      <c r="L738" t="s">
        <v>23</v>
      </c>
      <c r="M738" t="s">
        <v>32</v>
      </c>
      <c r="N738">
        <v>31</v>
      </c>
      <c r="O738" t="s">
        <v>18</v>
      </c>
    </row>
    <row r="739" spans="1:15" x14ac:dyDescent="0.2">
      <c r="A739">
        <v>18504</v>
      </c>
      <c r="B739" t="s">
        <v>34</v>
      </c>
      <c r="C739" s="16" t="str">
        <f t="shared" si="22"/>
        <v>Married</v>
      </c>
      <c r="D739" t="s">
        <v>34</v>
      </c>
      <c r="E739" s="16" t="str">
        <f t="shared" si="23"/>
        <v>Male</v>
      </c>
      <c r="F739" s="1">
        <v>70000</v>
      </c>
      <c r="G739">
        <v>2</v>
      </c>
      <c r="H739" t="s">
        <v>29</v>
      </c>
      <c r="I739" t="s">
        <v>14</v>
      </c>
      <c r="J739" t="s">
        <v>18</v>
      </c>
      <c r="K739">
        <v>2</v>
      </c>
      <c r="L739" t="s">
        <v>26</v>
      </c>
      <c r="M739" t="s">
        <v>32</v>
      </c>
      <c r="N739">
        <v>49</v>
      </c>
      <c r="O739" t="s">
        <v>18</v>
      </c>
    </row>
    <row r="740" spans="1:15" x14ac:dyDescent="0.2">
      <c r="A740">
        <v>28799</v>
      </c>
      <c r="B740" t="s">
        <v>35</v>
      </c>
      <c r="C740" s="16" t="str">
        <f t="shared" si="22"/>
        <v>Single</v>
      </c>
      <c r="D740" t="s">
        <v>33</v>
      </c>
      <c r="E740" s="16" t="str">
        <f t="shared" si="23"/>
        <v>Female</v>
      </c>
      <c r="F740" s="1">
        <v>40000</v>
      </c>
      <c r="G740">
        <v>2</v>
      </c>
      <c r="H740" t="s">
        <v>19</v>
      </c>
      <c r="I740" t="s">
        <v>20</v>
      </c>
      <c r="J740" t="s">
        <v>18</v>
      </c>
      <c r="K740">
        <v>1</v>
      </c>
      <c r="L740" t="s">
        <v>26</v>
      </c>
      <c r="M740" t="s">
        <v>32</v>
      </c>
      <c r="N740">
        <v>47</v>
      </c>
      <c r="O740" t="s">
        <v>15</v>
      </c>
    </row>
    <row r="741" spans="1:15" x14ac:dyDescent="0.2">
      <c r="A741">
        <v>11225</v>
      </c>
      <c r="B741" t="s">
        <v>34</v>
      </c>
      <c r="C741" s="16" t="str">
        <f t="shared" si="22"/>
        <v>Married</v>
      </c>
      <c r="D741" t="s">
        <v>33</v>
      </c>
      <c r="E741" s="16" t="str">
        <f t="shared" si="23"/>
        <v>Female</v>
      </c>
      <c r="F741" s="1">
        <v>60000</v>
      </c>
      <c r="G741">
        <v>2</v>
      </c>
      <c r="H741" t="s">
        <v>19</v>
      </c>
      <c r="I741" t="s">
        <v>21</v>
      </c>
      <c r="J741" t="s">
        <v>15</v>
      </c>
      <c r="K741">
        <v>1</v>
      </c>
      <c r="L741" t="s">
        <v>30</v>
      </c>
      <c r="M741" t="s">
        <v>32</v>
      </c>
      <c r="N741">
        <v>55</v>
      </c>
      <c r="O741" t="s">
        <v>18</v>
      </c>
    </row>
    <row r="742" spans="1:15" x14ac:dyDescent="0.2">
      <c r="A742">
        <v>17657</v>
      </c>
      <c r="B742" t="s">
        <v>34</v>
      </c>
      <c r="C742" s="16" t="str">
        <f t="shared" si="22"/>
        <v>Married</v>
      </c>
      <c r="D742" t="s">
        <v>34</v>
      </c>
      <c r="E742" s="16" t="str">
        <f t="shared" si="23"/>
        <v>Male</v>
      </c>
      <c r="F742" s="1">
        <v>40000</v>
      </c>
      <c r="G742">
        <v>4</v>
      </c>
      <c r="H742" t="s">
        <v>19</v>
      </c>
      <c r="I742" t="s">
        <v>20</v>
      </c>
      <c r="J742" t="s">
        <v>18</v>
      </c>
      <c r="K742">
        <v>0</v>
      </c>
      <c r="L742" t="s">
        <v>16</v>
      </c>
      <c r="M742" t="s">
        <v>32</v>
      </c>
      <c r="N742">
        <v>30</v>
      </c>
      <c r="O742" t="s">
        <v>18</v>
      </c>
    </row>
    <row r="743" spans="1:15" x14ac:dyDescent="0.2">
      <c r="A743">
        <v>14913</v>
      </c>
      <c r="B743" t="s">
        <v>34</v>
      </c>
      <c r="C743" s="16" t="str">
        <f t="shared" si="22"/>
        <v>Married</v>
      </c>
      <c r="D743" t="s">
        <v>33</v>
      </c>
      <c r="E743" s="16" t="str">
        <f t="shared" si="23"/>
        <v>Female</v>
      </c>
      <c r="F743" s="1">
        <v>40000</v>
      </c>
      <c r="G743">
        <v>1</v>
      </c>
      <c r="H743" t="s">
        <v>19</v>
      </c>
      <c r="I743" t="s">
        <v>20</v>
      </c>
      <c r="J743" t="s">
        <v>15</v>
      </c>
      <c r="K743">
        <v>1</v>
      </c>
      <c r="L743" t="s">
        <v>26</v>
      </c>
      <c r="M743" t="s">
        <v>32</v>
      </c>
      <c r="N743">
        <v>48</v>
      </c>
      <c r="O743" t="s">
        <v>15</v>
      </c>
    </row>
    <row r="744" spans="1:15" x14ac:dyDescent="0.2">
      <c r="A744">
        <v>14077</v>
      </c>
      <c r="B744" t="s">
        <v>35</v>
      </c>
      <c r="C744" s="16" t="str">
        <f t="shared" si="22"/>
        <v>Single</v>
      </c>
      <c r="D744" t="s">
        <v>34</v>
      </c>
      <c r="E744" s="16" t="str">
        <f t="shared" si="23"/>
        <v>Male</v>
      </c>
      <c r="F744" s="1">
        <v>30000</v>
      </c>
      <c r="G744">
        <v>0</v>
      </c>
      <c r="H744" t="s">
        <v>27</v>
      </c>
      <c r="I744" t="s">
        <v>14</v>
      </c>
      <c r="J744" t="s">
        <v>15</v>
      </c>
      <c r="K744">
        <v>2</v>
      </c>
      <c r="L744" t="s">
        <v>23</v>
      </c>
      <c r="M744" t="s">
        <v>32</v>
      </c>
      <c r="N744">
        <v>30</v>
      </c>
      <c r="O744" t="s">
        <v>18</v>
      </c>
    </row>
    <row r="745" spans="1:15" x14ac:dyDescent="0.2">
      <c r="A745">
        <v>13296</v>
      </c>
      <c r="B745" t="s">
        <v>34</v>
      </c>
      <c r="C745" s="16" t="str">
        <f t="shared" si="22"/>
        <v>Married</v>
      </c>
      <c r="D745" t="s">
        <v>34</v>
      </c>
      <c r="E745" s="16" t="str">
        <f t="shared" si="23"/>
        <v>Male</v>
      </c>
      <c r="F745" s="1">
        <v>110000</v>
      </c>
      <c r="G745">
        <v>1</v>
      </c>
      <c r="H745" t="s">
        <v>13</v>
      </c>
      <c r="I745" t="s">
        <v>28</v>
      </c>
      <c r="J745" t="s">
        <v>15</v>
      </c>
      <c r="K745">
        <v>3</v>
      </c>
      <c r="L745" t="s">
        <v>23</v>
      </c>
      <c r="M745" t="s">
        <v>32</v>
      </c>
      <c r="N745">
        <v>45</v>
      </c>
      <c r="O745" t="s">
        <v>18</v>
      </c>
    </row>
    <row r="746" spans="1:15" x14ac:dyDescent="0.2">
      <c r="A746">
        <v>20535</v>
      </c>
      <c r="B746" t="s">
        <v>34</v>
      </c>
      <c r="C746" s="16" t="str">
        <f t="shared" si="22"/>
        <v>Married</v>
      </c>
      <c r="D746" t="s">
        <v>33</v>
      </c>
      <c r="E746" s="16" t="str">
        <f t="shared" si="23"/>
        <v>Female</v>
      </c>
      <c r="F746" s="1">
        <v>70000</v>
      </c>
      <c r="G746">
        <v>4</v>
      </c>
      <c r="H746" t="s">
        <v>19</v>
      </c>
      <c r="I746" t="s">
        <v>21</v>
      </c>
      <c r="J746" t="s">
        <v>15</v>
      </c>
      <c r="K746">
        <v>1</v>
      </c>
      <c r="L746" t="s">
        <v>30</v>
      </c>
      <c r="M746" t="s">
        <v>32</v>
      </c>
      <c r="N746">
        <v>56</v>
      </c>
      <c r="O746" t="s">
        <v>18</v>
      </c>
    </row>
    <row r="747" spans="1:15" x14ac:dyDescent="0.2">
      <c r="A747">
        <v>12452</v>
      </c>
      <c r="B747" t="s">
        <v>34</v>
      </c>
      <c r="C747" s="16" t="str">
        <f t="shared" si="22"/>
        <v>Married</v>
      </c>
      <c r="D747" t="s">
        <v>34</v>
      </c>
      <c r="E747" s="16" t="str">
        <f t="shared" si="23"/>
        <v>Male</v>
      </c>
      <c r="F747" s="1">
        <v>60000</v>
      </c>
      <c r="G747">
        <v>4</v>
      </c>
      <c r="H747" t="s">
        <v>31</v>
      </c>
      <c r="I747" t="s">
        <v>14</v>
      </c>
      <c r="J747" t="s">
        <v>15</v>
      </c>
      <c r="K747">
        <v>0</v>
      </c>
      <c r="L747" t="s">
        <v>26</v>
      </c>
      <c r="M747" t="s">
        <v>32</v>
      </c>
      <c r="N747">
        <v>47</v>
      </c>
      <c r="O747" t="s">
        <v>15</v>
      </c>
    </row>
    <row r="748" spans="1:15" x14ac:dyDescent="0.2">
      <c r="A748">
        <v>28043</v>
      </c>
      <c r="B748" t="s">
        <v>34</v>
      </c>
      <c r="C748" s="16" t="str">
        <f t="shared" si="22"/>
        <v>Married</v>
      </c>
      <c r="D748" t="s">
        <v>33</v>
      </c>
      <c r="E748" s="16" t="str">
        <f t="shared" si="23"/>
        <v>Female</v>
      </c>
      <c r="F748" s="1">
        <v>60000</v>
      </c>
      <c r="G748">
        <v>2</v>
      </c>
      <c r="H748" t="s">
        <v>13</v>
      </c>
      <c r="I748" t="s">
        <v>28</v>
      </c>
      <c r="J748" t="s">
        <v>15</v>
      </c>
      <c r="K748">
        <v>0</v>
      </c>
      <c r="L748" t="s">
        <v>30</v>
      </c>
      <c r="M748" t="s">
        <v>32</v>
      </c>
      <c r="N748">
        <v>56</v>
      </c>
      <c r="O748" t="s">
        <v>18</v>
      </c>
    </row>
    <row r="749" spans="1:15" x14ac:dyDescent="0.2">
      <c r="A749">
        <v>12957</v>
      </c>
      <c r="B749" t="s">
        <v>35</v>
      </c>
      <c r="C749" s="16" t="str">
        <f t="shared" si="22"/>
        <v>Single</v>
      </c>
      <c r="D749" t="s">
        <v>33</v>
      </c>
      <c r="E749" s="16" t="str">
        <f t="shared" si="23"/>
        <v>Female</v>
      </c>
      <c r="F749" s="1">
        <v>70000</v>
      </c>
      <c r="G749">
        <v>1</v>
      </c>
      <c r="H749" t="s">
        <v>13</v>
      </c>
      <c r="I749" t="s">
        <v>21</v>
      </c>
      <c r="J749" t="s">
        <v>18</v>
      </c>
      <c r="K749">
        <v>1</v>
      </c>
      <c r="L749" t="s">
        <v>16</v>
      </c>
      <c r="M749" t="s">
        <v>32</v>
      </c>
      <c r="N749">
        <v>44</v>
      </c>
      <c r="O749" t="s">
        <v>18</v>
      </c>
    </row>
    <row r="750" spans="1:15" x14ac:dyDescent="0.2">
      <c r="A750">
        <v>15412</v>
      </c>
      <c r="B750" t="s">
        <v>34</v>
      </c>
      <c r="C750" s="16" t="str">
        <f t="shared" si="22"/>
        <v>Married</v>
      </c>
      <c r="D750" t="s">
        <v>34</v>
      </c>
      <c r="E750" s="16" t="str">
        <f t="shared" si="23"/>
        <v>Male</v>
      </c>
      <c r="F750" s="1">
        <v>130000</v>
      </c>
      <c r="G750">
        <v>2</v>
      </c>
      <c r="H750" t="s">
        <v>31</v>
      </c>
      <c r="I750" t="s">
        <v>28</v>
      </c>
      <c r="J750" t="s">
        <v>15</v>
      </c>
      <c r="K750">
        <v>3</v>
      </c>
      <c r="L750" t="s">
        <v>22</v>
      </c>
      <c r="M750" t="s">
        <v>32</v>
      </c>
      <c r="N750">
        <v>69</v>
      </c>
      <c r="O750" t="s">
        <v>18</v>
      </c>
    </row>
    <row r="751" spans="1:15" x14ac:dyDescent="0.2">
      <c r="A751">
        <v>20514</v>
      </c>
      <c r="B751" t="s">
        <v>34</v>
      </c>
      <c r="C751" s="16" t="str">
        <f t="shared" si="22"/>
        <v>Married</v>
      </c>
      <c r="D751" t="s">
        <v>33</v>
      </c>
      <c r="E751" s="16" t="str">
        <f t="shared" si="23"/>
        <v>Female</v>
      </c>
      <c r="F751" s="1">
        <v>70000</v>
      </c>
      <c r="G751">
        <v>2</v>
      </c>
      <c r="H751" t="s">
        <v>19</v>
      </c>
      <c r="I751" t="s">
        <v>21</v>
      </c>
      <c r="J751" t="s">
        <v>15</v>
      </c>
      <c r="K751">
        <v>1</v>
      </c>
      <c r="L751" t="s">
        <v>22</v>
      </c>
      <c r="M751" t="s">
        <v>32</v>
      </c>
      <c r="N751">
        <v>59</v>
      </c>
      <c r="O751" t="s">
        <v>18</v>
      </c>
    </row>
    <row r="752" spans="1:15" x14ac:dyDescent="0.2">
      <c r="A752">
        <v>20758</v>
      </c>
      <c r="B752" t="s">
        <v>34</v>
      </c>
      <c r="C752" s="16" t="str">
        <f t="shared" si="22"/>
        <v>Married</v>
      </c>
      <c r="D752" t="s">
        <v>34</v>
      </c>
      <c r="E752" s="16" t="str">
        <f t="shared" si="23"/>
        <v>Male</v>
      </c>
      <c r="F752" s="1">
        <v>30000</v>
      </c>
      <c r="G752">
        <v>2</v>
      </c>
      <c r="H752" t="s">
        <v>27</v>
      </c>
      <c r="I752" t="s">
        <v>14</v>
      </c>
      <c r="J752" t="s">
        <v>15</v>
      </c>
      <c r="K752">
        <v>2</v>
      </c>
      <c r="L752" t="s">
        <v>26</v>
      </c>
      <c r="M752" t="s">
        <v>32</v>
      </c>
      <c r="N752">
        <v>50</v>
      </c>
      <c r="O752" t="s">
        <v>18</v>
      </c>
    </row>
    <row r="753" spans="1:15" x14ac:dyDescent="0.2">
      <c r="A753">
        <v>11801</v>
      </c>
      <c r="B753" t="s">
        <v>34</v>
      </c>
      <c r="C753" s="16" t="str">
        <f t="shared" si="22"/>
        <v>Married</v>
      </c>
      <c r="D753" t="s">
        <v>34</v>
      </c>
      <c r="E753" s="16" t="str">
        <f t="shared" si="23"/>
        <v>Male</v>
      </c>
      <c r="F753" s="1">
        <v>60000</v>
      </c>
      <c r="G753">
        <v>1</v>
      </c>
      <c r="H753" t="s">
        <v>31</v>
      </c>
      <c r="I753" t="s">
        <v>21</v>
      </c>
      <c r="J753" t="s">
        <v>15</v>
      </c>
      <c r="K753">
        <v>0</v>
      </c>
      <c r="L753" t="s">
        <v>22</v>
      </c>
      <c r="M753" t="s">
        <v>32</v>
      </c>
      <c r="N753">
        <v>36</v>
      </c>
      <c r="O753" t="s">
        <v>18</v>
      </c>
    </row>
    <row r="754" spans="1:15" x14ac:dyDescent="0.2">
      <c r="A754">
        <v>22211</v>
      </c>
      <c r="B754" t="s">
        <v>34</v>
      </c>
      <c r="C754" s="16" t="str">
        <f t="shared" si="22"/>
        <v>Married</v>
      </c>
      <c r="D754" t="s">
        <v>34</v>
      </c>
      <c r="E754" s="16" t="str">
        <f t="shared" si="23"/>
        <v>Male</v>
      </c>
      <c r="F754" s="1">
        <v>60000</v>
      </c>
      <c r="G754">
        <v>0</v>
      </c>
      <c r="H754" t="s">
        <v>19</v>
      </c>
      <c r="I754" t="s">
        <v>21</v>
      </c>
      <c r="J754" t="s">
        <v>15</v>
      </c>
      <c r="K754">
        <v>2</v>
      </c>
      <c r="L754" t="s">
        <v>23</v>
      </c>
      <c r="M754" t="s">
        <v>32</v>
      </c>
      <c r="N754">
        <v>32</v>
      </c>
      <c r="O754" t="s">
        <v>18</v>
      </c>
    </row>
    <row r="755" spans="1:15" x14ac:dyDescent="0.2">
      <c r="A755">
        <v>28087</v>
      </c>
      <c r="B755" t="s">
        <v>35</v>
      </c>
      <c r="C755" s="16" t="str">
        <f t="shared" si="22"/>
        <v>Single</v>
      </c>
      <c r="D755" t="s">
        <v>33</v>
      </c>
      <c r="E755" s="16" t="str">
        <f t="shared" si="23"/>
        <v>Female</v>
      </c>
      <c r="F755" s="1">
        <v>40000</v>
      </c>
      <c r="G755">
        <v>0</v>
      </c>
      <c r="H755" t="s">
        <v>19</v>
      </c>
      <c r="I755" t="s">
        <v>14</v>
      </c>
      <c r="J755" t="s">
        <v>18</v>
      </c>
      <c r="K755">
        <v>1</v>
      </c>
      <c r="L755" t="s">
        <v>26</v>
      </c>
      <c r="M755" t="s">
        <v>32</v>
      </c>
      <c r="N755">
        <v>27</v>
      </c>
      <c r="O755" t="s">
        <v>18</v>
      </c>
    </row>
    <row r="756" spans="1:15" x14ac:dyDescent="0.2">
      <c r="A756">
        <v>23668</v>
      </c>
      <c r="B756" t="s">
        <v>34</v>
      </c>
      <c r="C756" s="16" t="str">
        <f t="shared" si="22"/>
        <v>Married</v>
      </c>
      <c r="D756" t="s">
        <v>33</v>
      </c>
      <c r="E756" s="16" t="str">
        <f t="shared" si="23"/>
        <v>Female</v>
      </c>
      <c r="F756" s="1">
        <v>40000</v>
      </c>
      <c r="G756">
        <v>4</v>
      </c>
      <c r="H756" t="s">
        <v>27</v>
      </c>
      <c r="I756" t="s">
        <v>21</v>
      </c>
      <c r="J756" t="s">
        <v>15</v>
      </c>
      <c r="K756">
        <v>2</v>
      </c>
      <c r="L756" t="s">
        <v>23</v>
      </c>
      <c r="M756" t="s">
        <v>32</v>
      </c>
      <c r="N756">
        <v>59</v>
      </c>
      <c r="O756" t="s">
        <v>15</v>
      </c>
    </row>
    <row r="757" spans="1:15" x14ac:dyDescent="0.2">
      <c r="A757">
        <v>27441</v>
      </c>
      <c r="B757" t="s">
        <v>34</v>
      </c>
      <c r="C757" s="16" t="str">
        <f t="shared" si="22"/>
        <v>Married</v>
      </c>
      <c r="D757" t="s">
        <v>34</v>
      </c>
      <c r="E757" s="16" t="str">
        <f t="shared" si="23"/>
        <v>Male</v>
      </c>
      <c r="F757" s="1">
        <v>60000</v>
      </c>
      <c r="G757">
        <v>3</v>
      </c>
      <c r="H757" t="s">
        <v>27</v>
      </c>
      <c r="I757" t="s">
        <v>21</v>
      </c>
      <c r="J757" t="s">
        <v>18</v>
      </c>
      <c r="K757">
        <v>2</v>
      </c>
      <c r="L757" t="s">
        <v>22</v>
      </c>
      <c r="M757" t="s">
        <v>32</v>
      </c>
      <c r="N757">
        <v>53</v>
      </c>
      <c r="O757" t="s">
        <v>18</v>
      </c>
    </row>
    <row r="758" spans="1:15" x14ac:dyDescent="0.2">
      <c r="A758">
        <v>27261</v>
      </c>
      <c r="B758" t="s">
        <v>34</v>
      </c>
      <c r="C758" s="16" t="str">
        <f t="shared" si="22"/>
        <v>Married</v>
      </c>
      <c r="D758" t="s">
        <v>34</v>
      </c>
      <c r="E758" s="16" t="str">
        <f t="shared" si="23"/>
        <v>Male</v>
      </c>
      <c r="F758" s="1">
        <v>40000</v>
      </c>
      <c r="G758">
        <v>1</v>
      </c>
      <c r="H758" t="s">
        <v>13</v>
      </c>
      <c r="I758" t="s">
        <v>14</v>
      </c>
      <c r="J758" t="s">
        <v>18</v>
      </c>
      <c r="K758">
        <v>1</v>
      </c>
      <c r="L758" t="s">
        <v>16</v>
      </c>
      <c r="M758" t="s">
        <v>32</v>
      </c>
      <c r="N758">
        <v>36</v>
      </c>
      <c r="O758" t="s">
        <v>15</v>
      </c>
    </row>
    <row r="759" spans="1:15" x14ac:dyDescent="0.2">
      <c r="A759">
        <v>18649</v>
      </c>
      <c r="B759" t="s">
        <v>35</v>
      </c>
      <c r="C759" s="16" t="str">
        <f t="shared" si="22"/>
        <v>Single</v>
      </c>
      <c r="D759" t="s">
        <v>34</v>
      </c>
      <c r="E759" s="16" t="str">
        <f t="shared" si="23"/>
        <v>Male</v>
      </c>
      <c r="F759" s="1">
        <v>30000</v>
      </c>
      <c r="G759">
        <v>1</v>
      </c>
      <c r="H759" t="s">
        <v>27</v>
      </c>
      <c r="I759" t="s">
        <v>20</v>
      </c>
      <c r="J759" t="s">
        <v>15</v>
      </c>
      <c r="K759">
        <v>2</v>
      </c>
      <c r="L759" t="s">
        <v>26</v>
      </c>
      <c r="M759" t="s">
        <v>32</v>
      </c>
      <c r="N759">
        <v>51</v>
      </c>
      <c r="O759" t="s">
        <v>15</v>
      </c>
    </row>
    <row r="760" spans="1:15" x14ac:dyDescent="0.2">
      <c r="A760">
        <v>21714</v>
      </c>
      <c r="B760" t="s">
        <v>35</v>
      </c>
      <c r="C760" s="16" t="str">
        <f t="shared" si="22"/>
        <v>Single</v>
      </c>
      <c r="D760" t="s">
        <v>33</v>
      </c>
      <c r="E760" s="16" t="str">
        <f t="shared" si="23"/>
        <v>Female</v>
      </c>
      <c r="F760" s="1">
        <v>80000</v>
      </c>
      <c r="G760">
        <v>5</v>
      </c>
      <c r="H760" t="s">
        <v>31</v>
      </c>
      <c r="I760" t="s">
        <v>14</v>
      </c>
      <c r="J760" t="s">
        <v>18</v>
      </c>
      <c r="K760">
        <v>0</v>
      </c>
      <c r="L760" t="s">
        <v>16</v>
      </c>
      <c r="M760" t="s">
        <v>32</v>
      </c>
      <c r="N760">
        <v>47</v>
      </c>
      <c r="O760" t="s">
        <v>18</v>
      </c>
    </row>
    <row r="761" spans="1:15" x14ac:dyDescent="0.2">
      <c r="A761">
        <v>23217</v>
      </c>
      <c r="B761" t="s">
        <v>35</v>
      </c>
      <c r="C761" s="16" t="str">
        <f t="shared" si="22"/>
        <v>Single</v>
      </c>
      <c r="D761" t="s">
        <v>33</v>
      </c>
      <c r="E761" s="16" t="str">
        <f t="shared" si="23"/>
        <v>Female</v>
      </c>
      <c r="F761" s="1">
        <v>60000</v>
      </c>
      <c r="G761">
        <v>3</v>
      </c>
      <c r="H761" t="s">
        <v>31</v>
      </c>
      <c r="I761" t="s">
        <v>21</v>
      </c>
      <c r="J761" t="s">
        <v>15</v>
      </c>
      <c r="K761">
        <v>0</v>
      </c>
      <c r="L761" t="s">
        <v>22</v>
      </c>
      <c r="M761" t="s">
        <v>32</v>
      </c>
      <c r="N761">
        <v>43</v>
      </c>
      <c r="O761" t="s">
        <v>15</v>
      </c>
    </row>
    <row r="762" spans="1:15" x14ac:dyDescent="0.2">
      <c r="A762">
        <v>23797</v>
      </c>
      <c r="B762" t="s">
        <v>35</v>
      </c>
      <c r="C762" s="16" t="str">
        <f t="shared" si="22"/>
        <v>Single</v>
      </c>
      <c r="D762" t="s">
        <v>34</v>
      </c>
      <c r="E762" s="16" t="str">
        <f t="shared" si="23"/>
        <v>Male</v>
      </c>
      <c r="F762" s="1">
        <v>20000</v>
      </c>
      <c r="G762">
        <v>3</v>
      </c>
      <c r="H762" t="s">
        <v>29</v>
      </c>
      <c r="I762" t="s">
        <v>20</v>
      </c>
      <c r="J762" t="s">
        <v>18</v>
      </c>
      <c r="K762">
        <v>2</v>
      </c>
      <c r="L762" t="s">
        <v>16</v>
      </c>
      <c r="M762" t="s">
        <v>32</v>
      </c>
      <c r="N762">
        <v>50</v>
      </c>
      <c r="O762" t="s">
        <v>18</v>
      </c>
    </row>
    <row r="763" spans="1:15" x14ac:dyDescent="0.2">
      <c r="A763">
        <v>13216</v>
      </c>
      <c r="B763" t="s">
        <v>34</v>
      </c>
      <c r="C763" s="16" t="str">
        <f t="shared" si="22"/>
        <v>Married</v>
      </c>
      <c r="D763" t="s">
        <v>33</v>
      </c>
      <c r="E763" s="16" t="str">
        <f t="shared" si="23"/>
        <v>Female</v>
      </c>
      <c r="F763" s="1">
        <v>60000</v>
      </c>
      <c r="G763">
        <v>5</v>
      </c>
      <c r="H763" t="s">
        <v>13</v>
      </c>
      <c r="I763" t="s">
        <v>28</v>
      </c>
      <c r="J763" t="s">
        <v>15</v>
      </c>
      <c r="K763">
        <v>3</v>
      </c>
      <c r="L763" t="s">
        <v>30</v>
      </c>
      <c r="M763" t="s">
        <v>32</v>
      </c>
      <c r="N763">
        <v>59</v>
      </c>
      <c r="O763" t="s">
        <v>18</v>
      </c>
    </row>
    <row r="764" spans="1:15" x14ac:dyDescent="0.2">
      <c r="A764">
        <v>20657</v>
      </c>
      <c r="B764" t="s">
        <v>35</v>
      </c>
      <c r="C764" s="16" t="str">
        <f t="shared" si="22"/>
        <v>Single</v>
      </c>
      <c r="D764" t="s">
        <v>34</v>
      </c>
      <c r="E764" s="16" t="str">
        <f t="shared" si="23"/>
        <v>Male</v>
      </c>
      <c r="F764" s="1">
        <v>50000</v>
      </c>
      <c r="G764">
        <v>2</v>
      </c>
      <c r="H764" t="s">
        <v>13</v>
      </c>
      <c r="I764" t="s">
        <v>14</v>
      </c>
      <c r="J764" t="s">
        <v>15</v>
      </c>
      <c r="K764">
        <v>0</v>
      </c>
      <c r="L764" t="s">
        <v>22</v>
      </c>
      <c r="M764" t="s">
        <v>32</v>
      </c>
      <c r="N764">
        <v>37</v>
      </c>
      <c r="O764" t="s">
        <v>15</v>
      </c>
    </row>
    <row r="765" spans="1:15" x14ac:dyDescent="0.2">
      <c r="A765">
        <v>12882</v>
      </c>
      <c r="B765" t="s">
        <v>34</v>
      </c>
      <c r="C765" s="16" t="str">
        <f t="shared" si="22"/>
        <v>Married</v>
      </c>
      <c r="D765" t="s">
        <v>34</v>
      </c>
      <c r="E765" s="16" t="str">
        <f t="shared" si="23"/>
        <v>Male</v>
      </c>
      <c r="F765" s="1">
        <v>50000</v>
      </c>
      <c r="G765">
        <v>1</v>
      </c>
      <c r="H765" t="s">
        <v>31</v>
      </c>
      <c r="I765" t="s">
        <v>14</v>
      </c>
      <c r="J765" t="s">
        <v>15</v>
      </c>
      <c r="K765">
        <v>0</v>
      </c>
      <c r="L765" t="s">
        <v>16</v>
      </c>
      <c r="M765" t="s">
        <v>32</v>
      </c>
      <c r="N765">
        <v>33</v>
      </c>
      <c r="O765" t="s">
        <v>15</v>
      </c>
    </row>
    <row r="766" spans="1:15" x14ac:dyDescent="0.2">
      <c r="A766">
        <v>25908</v>
      </c>
      <c r="B766" t="s">
        <v>34</v>
      </c>
      <c r="C766" s="16" t="str">
        <f t="shared" si="22"/>
        <v>Married</v>
      </c>
      <c r="D766" t="s">
        <v>33</v>
      </c>
      <c r="E766" s="16" t="str">
        <f t="shared" si="23"/>
        <v>Female</v>
      </c>
      <c r="F766" s="1">
        <v>60000</v>
      </c>
      <c r="G766">
        <v>0</v>
      </c>
      <c r="H766" t="s">
        <v>19</v>
      </c>
      <c r="I766" t="s">
        <v>14</v>
      </c>
      <c r="J766" t="s">
        <v>18</v>
      </c>
      <c r="K766">
        <v>1</v>
      </c>
      <c r="L766" t="s">
        <v>26</v>
      </c>
      <c r="M766" t="s">
        <v>32</v>
      </c>
      <c r="N766">
        <v>27</v>
      </c>
      <c r="O766" t="s">
        <v>18</v>
      </c>
    </row>
    <row r="767" spans="1:15" x14ac:dyDescent="0.2">
      <c r="A767">
        <v>16753</v>
      </c>
      <c r="B767" t="s">
        <v>35</v>
      </c>
      <c r="C767" s="16" t="str">
        <f t="shared" si="22"/>
        <v>Single</v>
      </c>
      <c r="D767" t="s">
        <v>33</v>
      </c>
      <c r="E767" s="16" t="str">
        <f t="shared" si="23"/>
        <v>Female</v>
      </c>
      <c r="F767" s="1">
        <v>70000</v>
      </c>
      <c r="G767">
        <v>0</v>
      </c>
      <c r="H767" t="s">
        <v>19</v>
      </c>
      <c r="I767" t="s">
        <v>14</v>
      </c>
      <c r="J767" t="s">
        <v>15</v>
      </c>
      <c r="K767">
        <v>2</v>
      </c>
      <c r="L767" t="s">
        <v>23</v>
      </c>
      <c r="M767" t="s">
        <v>32</v>
      </c>
      <c r="N767">
        <v>34</v>
      </c>
      <c r="O767" t="s">
        <v>15</v>
      </c>
    </row>
    <row r="768" spans="1:15" x14ac:dyDescent="0.2">
      <c r="A768">
        <v>14608</v>
      </c>
      <c r="B768" t="s">
        <v>34</v>
      </c>
      <c r="C768" s="16" t="str">
        <f t="shared" si="22"/>
        <v>Married</v>
      </c>
      <c r="D768" t="s">
        <v>34</v>
      </c>
      <c r="E768" s="16" t="str">
        <f t="shared" si="23"/>
        <v>Male</v>
      </c>
      <c r="F768" s="1">
        <v>50000</v>
      </c>
      <c r="G768">
        <v>4</v>
      </c>
      <c r="H768" t="s">
        <v>13</v>
      </c>
      <c r="I768" t="s">
        <v>14</v>
      </c>
      <c r="J768" t="s">
        <v>15</v>
      </c>
      <c r="K768">
        <v>3</v>
      </c>
      <c r="L768" t="s">
        <v>30</v>
      </c>
      <c r="M768" t="s">
        <v>32</v>
      </c>
      <c r="N768">
        <v>42</v>
      </c>
      <c r="O768" t="s">
        <v>18</v>
      </c>
    </row>
    <row r="769" spans="1:15" x14ac:dyDescent="0.2">
      <c r="A769">
        <v>24979</v>
      </c>
      <c r="B769" t="s">
        <v>34</v>
      </c>
      <c r="C769" s="16" t="str">
        <f t="shared" si="22"/>
        <v>Married</v>
      </c>
      <c r="D769" t="s">
        <v>33</v>
      </c>
      <c r="E769" s="16" t="str">
        <f t="shared" si="23"/>
        <v>Female</v>
      </c>
      <c r="F769" s="1">
        <v>60000</v>
      </c>
      <c r="G769">
        <v>2</v>
      </c>
      <c r="H769" t="s">
        <v>19</v>
      </c>
      <c r="I769" t="s">
        <v>21</v>
      </c>
      <c r="J769" t="s">
        <v>15</v>
      </c>
      <c r="K769">
        <v>2</v>
      </c>
      <c r="L769" t="s">
        <v>22</v>
      </c>
      <c r="M769" t="s">
        <v>32</v>
      </c>
      <c r="N769">
        <v>57</v>
      </c>
      <c r="O769" t="s">
        <v>15</v>
      </c>
    </row>
    <row r="770" spans="1:15" x14ac:dyDescent="0.2">
      <c r="A770">
        <v>13313</v>
      </c>
      <c r="B770" t="s">
        <v>34</v>
      </c>
      <c r="C770" s="16" t="str">
        <f t="shared" ref="C770:C833" si="24">IF(B770="M","Married","Single")</f>
        <v>Married</v>
      </c>
      <c r="D770" t="s">
        <v>33</v>
      </c>
      <c r="E770" s="16" t="str">
        <f t="shared" ref="E770:E833" si="25">IF(D770="F","Female","Male")</f>
        <v>Female</v>
      </c>
      <c r="F770" s="1">
        <v>120000</v>
      </c>
      <c r="G770">
        <v>1</v>
      </c>
      <c r="H770" t="s">
        <v>27</v>
      </c>
      <c r="I770" t="s">
        <v>21</v>
      </c>
      <c r="J770" t="s">
        <v>18</v>
      </c>
      <c r="K770">
        <v>4</v>
      </c>
      <c r="L770" t="s">
        <v>22</v>
      </c>
      <c r="M770" t="s">
        <v>32</v>
      </c>
      <c r="N770">
        <v>45</v>
      </c>
      <c r="O770" t="s">
        <v>18</v>
      </c>
    </row>
    <row r="771" spans="1:15" x14ac:dyDescent="0.2">
      <c r="A771">
        <v>18952</v>
      </c>
      <c r="B771" t="s">
        <v>34</v>
      </c>
      <c r="C771" s="16" t="str">
        <f t="shared" si="24"/>
        <v>Married</v>
      </c>
      <c r="D771" t="s">
        <v>33</v>
      </c>
      <c r="E771" s="16" t="str">
        <f t="shared" si="25"/>
        <v>Female</v>
      </c>
      <c r="F771" s="1">
        <v>100000</v>
      </c>
      <c r="G771">
        <v>4</v>
      </c>
      <c r="H771" t="s">
        <v>13</v>
      </c>
      <c r="I771" t="s">
        <v>28</v>
      </c>
      <c r="J771" t="s">
        <v>15</v>
      </c>
      <c r="K771">
        <v>4</v>
      </c>
      <c r="L771" t="s">
        <v>16</v>
      </c>
      <c r="M771" t="s">
        <v>32</v>
      </c>
      <c r="N771">
        <v>40</v>
      </c>
      <c r="O771" t="s">
        <v>18</v>
      </c>
    </row>
    <row r="772" spans="1:15" x14ac:dyDescent="0.2">
      <c r="A772">
        <v>17699</v>
      </c>
      <c r="B772" t="s">
        <v>34</v>
      </c>
      <c r="C772" s="16" t="str">
        <f t="shared" si="24"/>
        <v>Married</v>
      </c>
      <c r="D772" t="s">
        <v>34</v>
      </c>
      <c r="E772" s="16" t="str">
        <f t="shared" si="25"/>
        <v>Male</v>
      </c>
      <c r="F772" s="1">
        <v>60000</v>
      </c>
      <c r="G772">
        <v>1</v>
      </c>
      <c r="H772" t="s">
        <v>31</v>
      </c>
      <c r="I772" t="s">
        <v>14</v>
      </c>
      <c r="J772" t="s">
        <v>18</v>
      </c>
      <c r="K772">
        <v>0</v>
      </c>
      <c r="L772" t="s">
        <v>16</v>
      </c>
      <c r="M772" t="s">
        <v>32</v>
      </c>
      <c r="N772">
        <v>55</v>
      </c>
      <c r="O772" t="s">
        <v>18</v>
      </c>
    </row>
    <row r="773" spans="1:15" x14ac:dyDescent="0.2">
      <c r="A773">
        <v>14657</v>
      </c>
      <c r="B773" t="s">
        <v>34</v>
      </c>
      <c r="C773" s="16" t="str">
        <f t="shared" si="24"/>
        <v>Married</v>
      </c>
      <c r="D773" t="s">
        <v>34</v>
      </c>
      <c r="E773" s="16" t="str">
        <f t="shared" si="25"/>
        <v>Male</v>
      </c>
      <c r="F773" s="1">
        <v>80000</v>
      </c>
      <c r="G773">
        <v>1</v>
      </c>
      <c r="H773" t="s">
        <v>19</v>
      </c>
      <c r="I773" t="s">
        <v>14</v>
      </c>
      <c r="J773" t="s">
        <v>18</v>
      </c>
      <c r="K773">
        <v>1</v>
      </c>
      <c r="L773" t="s">
        <v>16</v>
      </c>
      <c r="M773" t="s">
        <v>32</v>
      </c>
      <c r="N773">
        <v>47</v>
      </c>
      <c r="O773" t="s">
        <v>15</v>
      </c>
    </row>
    <row r="774" spans="1:15" x14ac:dyDescent="0.2">
      <c r="A774">
        <v>11540</v>
      </c>
      <c r="B774" t="s">
        <v>35</v>
      </c>
      <c r="C774" s="16" t="str">
        <f t="shared" si="24"/>
        <v>Single</v>
      </c>
      <c r="D774" t="s">
        <v>34</v>
      </c>
      <c r="E774" s="16" t="str">
        <f t="shared" si="25"/>
        <v>Male</v>
      </c>
      <c r="F774" s="1">
        <v>60000</v>
      </c>
      <c r="G774">
        <v>4</v>
      </c>
      <c r="H774" t="s">
        <v>31</v>
      </c>
      <c r="I774" t="s">
        <v>14</v>
      </c>
      <c r="J774" t="s">
        <v>15</v>
      </c>
      <c r="K774">
        <v>0</v>
      </c>
      <c r="L774" t="s">
        <v>26</v>
      </c>
      <c r="M774" t="s">
        <v>32</v>
      </c>
      <c r="N774">
        <v>47</v>
      </c>
      <c r="O774" t="s">
        <v>15</v>
      </c>
    </row>
    <row r="775" spans="1:15" x14ac:dyDescent="0.2">
      <c r="A775">
        <v>11783</v>
      </c>
      <c r="B775" t="s">
        <v>34</v>
      </c>
      <c r="C775" s="16" t="str">
        <f t="shared" si="24"/>
        <v>Married</v>
      </c>
      <c r="D775" t="s">
        <v>33</v>
      </c>
      <c r="E775" s="16" t="str">
        <f t="shared" si="25"/>
        <v>Female</v>
      </c>
      <c r="F775" s="1">
        <v>60000</v>
      </c>
      <c r="G775">
        <v>1</v>
      </c>
      <c r="H775" t="s">
        <v>31</v>
      </c>
      <c r="I775" t="s">
        <v>14</v>
      </c>
      <c r="J775" t="s">
        <v>15</v>
      </c>
      <c r="K775">
        <v>0</v>
      </c>
      <c r="L775" t="s">
        <v>16</v>
      </c>
      <c r="M775" t="s">
        <v>32</v>
      </c>
      <c r="N775">
        <v>34</v>
      </c>
      <c r="O775" t="s">
        <v>18</v>
      </c>
    </row>
    <row r="776" spans="1:15" x14ac:dyDescent="0.2">
      <c r="A776">
        <v>14602</v>
      </c>
      <c r="B776" t="s">
        <v>34</v>
      </c>
      <c r="C776" s="16" t="str">
        <f t="shared" si="24"/>
        <v>Married</v>
      </c>
      <c r="D776" t="s">
        <v>33</v>
      </c>
      <c r="E776" s="16" t="str">
        <f t="shared" si="25"/>
        <v>Female</v>
      </c>
      <c r="F776" s="1">
        <v>80000</v>
      </c>
      <c r="G776">
        <v>3</v>
      </c>
      <c r="H776" t="s">
        <v>31</v>
      </c>
      <c r="I776" t="s">
        <v>21</v>
      </c>
      <c r="J776" t="s">
        <v>15</v>
      </c>
      <c r="K776">
        <v>0</v>
      </c>
      <c r="L776" t="s">
        <v>16</v>
      </c>
      <c r="M776" t="s">
        <v>32</v>
      </c>
      <c r="N776">
        <v>36</v>
      </c>
      <c r="O776" t="s">
        <v>15</v>
      </c>
    </row>
    <row r="777" spans="1:15" x14ac:dyDescent="0.2">
      <c r="A777">
        <v>29030</v>
      </c>
      <c r="B777" t="s">
        <v>34</v>
      </c>
      <c r="C777" s="16" t="str">
        <f t="shared" si="24"/>
        <v>Married</v>
      </c>
      <c r="D777" t="s">
        <v>34</v>
      </c>
      <c r="E777" s="16" t="str">
        <f t="shared" si="25"/>
        <v>Male</v>
      </c>
      <c r="F777" s="1">
        <v>70000</v>
      </c>
      <c r="G777">
        <v>2</v>
      </c>
      <c r="H777" t="s">
        <v>29</v>
      </c>
      <c r="I777" t="s">
        <v>14</v>
      </c>
      <c r="J777" t="s">
        <v>15</v>
      </c>
      <c r="K777">
        <v>2</v>
      </c>
      <c r="L777" t="s">
        <v>30</v>
      </c>
      <c r="M777" t="s">
        <v>32</v>
      </c>
      <c r="N777">
        <v>54</v>
      </c>
      <c r="O777" t="s">
        <v>18</v>
      </c>
    </row>
    <row r="778" spans="1:15" x14ac:dyDescent="0.2">
      <c r="A778">
        <v>26490</v>
      </c>
      <c r="B778" t="s">
        <v>35</v>
      </c>
      <c r="C778" s="16" t="str">
        <f t="shared" si="24"/>
        <v>Single</v>
      </c>
      <c r="D778" t="s">
        <v>34</v>
      </c>
      <c r="E778" s="16" t="str">
        <f t="shared" si="25"/>
        <v>Male</v>
      </c>
      <c r="F778" s="1">
        <v>70000</v>
      </c>
      <c r="G778">
        <v>2</v>
      </c>
      <c r="H778" t="s">
        <v>13</v>
      </c>
      <c r="I778" t="s">
        <v>28</v>
      </c>
      <c r="J778" t="s">
        <v>18</v>
      </c>
      <c r="K778">
        <v>1</v>
      </c>
      <c r="L778" t="s">
        <v>22</v>
      </c>
      <c r="M778" t="s">
        <v>32</v>
      </c>
      <c r="N778">
        <v>59</v>
      </c>
      <c r="O778" t="s">
        <v>15</v>
      </c>
    </row>
    <row r="779" spans="1:15" x14ac:dyDescent="0.2">
      <c r="A779">
        <v>13151</v>
      </c>
      <c r="B779" t="s">
        <v>35</v>
      </c>
      <c r="C779" s="16" t="str">
        <f t="shared" si="24"/>
        <v>Single</v>
      </c>
      <c r="D779" t="s">
        <v>34</v>
      </c>
      <c r="E779" s="16" t="str">
        <f t="shared" si="25"/>
        <v>Male</v>
      </c>
      <c r="F779" s="1">
        <v>40000</v>
      </c>
      <c r="G779">
        <v>0</v>
      </c>
      <c r="H779" t="s">
        <v>27</v>
      </c>
      <c r="I779" t="s">
        <v>14</v>
      </c>
      <c r="J779" t="s">
        <v>15</v>
      </c>
      <c r="K779">
        <v>2</v>
      </c>
      <c r="L779" t="s">
        <v>23</v>
      </c>
      <c r="M779" t="s">
        <v>32</v>
      </c>
      <c r="N779">
        <v>27</v>
      </c>
      <c r="O779" t="s">
        <v>18</v>
      </c>
    </row>
    <row r="780" spans="1:15" x14ac:dyDescent="0.2">
      <c r="A780">
        <v>17260</v>
      </c>
      <c r="B780" t="s">
        <v>34</v>
      </c>
      <c r="C780" s="16" t="str">
        <f t="shared" si="24"/>
        <v>Married</v>
      </c>
      <c r="D780" t="s">
        <v>34</v>
      </c>
      <c r="E780" s="16" t="str">
        <f t="shared" si="25"/>
        <v>Male</v>
      </c>
      <c r="F780" s="1">
        <v>90000</v>
      </c>
      <c r="G780">
        <v>5</v>
      </c>
      <c r="H780" t="s">
        <v>19</v>
      </c>
      <c r="I780" t="s">
        <v>21</v>
      </c>
      <c r="J780" t="s">
        <v>15</v>
      </c>
      <c r="K780">
        <v>3</v>
      </c>
      <c r="L780" t="s">
        <v>16</v>
      </c>
      <c r="M780" t="s">
        <v>32</v>
      </c>
      <c r="N780">
        <v>41</v>
      </c>
      <c r="O780" t="s">
        <v>18</v>
      </c>
    </row>
    <row r="781" spans="1:15" x14ac:dyDescent="0.2">
      <c r="A781">
        <v>15372</v>
      </c>
      <c r="B781" t="s">
        <v>34</v>
      </c>
      <c r="C781" s="16" t="str">
        <f t="shared" si="24"/>
        <v>Married</v>
      </c>
      <c r="D781" t="s">
        <v>34</v>
      </c>
      <c r="E781" s="16" t="str">
        <f t="shared" si="25"/>
        <v>Male</v>
      </c>
      <c r="F781" s="1">
        <v>80000</v>
      </c>
      <c r="G781">
        <v>3</v>
      </c>
      <c r="H781" t="s">
        <v>19</v>
      </c>
      <c r="I781" t="s">
        <v>21</v>
      </c>
      <c r="J781" t="s">
        <v>18</v>
      </c>
      <c r="K781">
        <v>2</v>
      </c>
      <c r="L781" t="s">
        <v>22</v>
      </c>
      <c r="M781" t="s">
        <v>32</v>
      </c>
      <c r="N781">
        <v>50</v>
      </c>
      <c r="O781" t="s">
        <v>15</v>
      </c>
    </row>
    <row r="782" spans="1:15" x14ac:dyDescent="0.2">
      <c r="A782">
        <v>18105</v>
      </c>
      <c r="B782" t="s">
        <v>34</v>
      </c>
      <c r="C782" s="16" t="str">
        <f t="shared" si="24"/>
        <v>Married</v>
      </c>
      <c r="D782" t="s">
        <v>33</v>
      </c>
      <c r="E782" s="16" t="str">
        <f t="shared" si="25"/>
        <v>Female</v>
      </c>
      <c r="F782" s="1">
        <v>60000</v>
      </c>
      <c r="G782">
        <v>2</v>
      </c>
      <c r="H782" t="s">
        <v>19</v>
      </c>
      <c r="I782" t="s">
        <v>21</v>
      </c>
      <c r="J782" t="s">
        <v>15</v>
      </c>
      <c r="K782">
        <v>1</v>
      </c>
      <c r="L782" t="s">
        <v>30</v>
      </c>
      <c r="M782" t="s">
        <v>32</v>
      </c>
      <c r="N782">
        <v>55</v>
      </c>
      <c r="O782" t="s">
        <v>18</v>
      </c>
    </row>
    <row r="783" spans="1:15" x14ac:dyDescent="0.2">
      <c r="A783">
        <v>19660</v>
      </c>
      <c r="B783" t="s">
        <v>34</v>
      </c>
      <c r="C783" s="16" t="str">
        <f t="shared" si="24"/>
        <v>Married</v>
      </c>
      <c r="D783" t="s">
        <v>34</v>
      </c>
      <c r="E783" s="16" t="str">
        <f t="shared" si="25"/>
        <v>Male</v>
      </c>
      <c r="F783" s="1">
        <v>80000</v>
      </c>
      <c r="G783">
        <v>4</v>
      </c>
      <c r="H783" t="s">
        <v>13</v>
      </c>
      <c r="I783" t="s">
        <v>28</v>
      </c>
      <c r="J783" t="s">
        <v>15</v>
      </c>
      <c r="K783">
        <v>0</v>
      </c>
      <c r="L783" t="s">
        <v>16</v>
      </c>
      <c r="M783" t="s">
        <v>32</v>
      </c>
      <c r="N783">
        <v>43</v>
      </c>
      <c r="O783" t="s">
        <v>18</v>
      </c>
    </row>
    <row r="784" spans="1:15" x14ac:dyDescent="0.2">
      <c r="A784">
        <v>16112</v>
      </c>
      <c r="B784" t="s">
        <v>35</v>
      </c>
      <c r="C784" s="16" t="str">
        <f t="shared" si="24"/>
        <v>Single</v>
      </c>
      <c r="D784" t="s">
        <v>34</v>
      </c>
      <c r="E784" s="16" t="str">
        <f t="shared" si="25"/>
        <v>Male</v>
      </c>
      <c r="F784" s="1">
        <v>70000</v>
      </c>
      <c r="G784">
        <v>4</v>
      </c>
      <c r="H784" t="s">
        <v>13</v>
      </c>
      <c r="I784" t="s">
        <v>21</v>
      </c>
      <c r="J784" t="s">
        <v>15</v>
      </c>
      <c r="K784">
        <v>2</v>
      </c>
      <c r="L784" t="s">
        <v>22</v>
      </c>
      <c r="M784" t="s">
        <v>32</v>
      </c>
      <c r="N784">
        <v>43</v>
      </c>
      <c r="O784" t="s">
        <v>15</v>
      </c>
    </row>
    <row r="785" spans="1:15" x14ac:dyDescent="0.2">
      <c r="A785">
        <v>20698</v>
      </c>
      <c r="B785" t="s">
        <v>34</v>
      </c>
      <c r="C785" s="16" t="str">
        <f t="shared" si="24"/>
        <v>Married</v>
      </c>
      <c r="D785" t="s">
        <v>34</v>
      </c>
      <c r="E785" s="16" t="str">
        <f t="shared" si="25"/>
        <v>Male</v>
      </c>
      <c r="F785" s="1">
        <v>60000</v>
      </c>
      <c r="G785">
        <v>4</v>
      </c>
      <c r="H785" t="s">
        <v>13</v>
      </c>
      <c r="I785" t="s">
        <v>14</v>
      </c>
      <c r="J785" t="s">
        <v>15</v>
      </c>
      <c r="K785">
        <v>3</v>
      </c>
      <c r="L785" t="s">
        <v>23</v>
      </c>
      <c r="M785" t="s">
        <v>32</v>
      </c>
      <c r="N785">
        <v>42</v>
      </c>
      <c r="O785" t="s">
        <v>18</v>
      </c>
    </row>
    <row r="786" spans="1:15" x14ac:dyDescent="0.2">
      <c r="A786">
        <v>20076</v>
      </c>
      <c r="B786" t="s">
        <v>35</v>
      </c>
      <c r="C786" s="16" t="str">
        <f t="shared" si="24"/>
        <v>Single</v>
      </c>
      <c r="D786" t="s">
        <v>33</v>
      </c>
      <c r="E786" s="16" t="str">
        <f t="shared" si="25"/>
        <v>Female</v>
      </c>
      <c r="F786" s="1">
        <v>10000</v>
      </c>
      <c r="G786">
        <v>2</v>
      </c>
      <c r="H786" t="s">
        <v>27</v>
      </c>
      <c r="I786" t="s">
        <v>25</v>
      </c>
      <c r="J786" t="s">
        <v>15</v>
      </c>
      <c r="K786">
        <v>2</v>
      </c>
      <c r="L786" t="s">
        <v>26</v>
      </c>
      <c r="M786" t="s">
        <v>32</v>
      </c>
      <c r="N786">
        <v>53</v>
      </c>
      <c r="O786" t="s">
        <v>15</v>
      </c>
    </row>
    <row r="787" spans="1:15" x14ac:dyDescent="0.2">
      <c r="A787">
        <v>24496</v>
      </c>
      <c r="B787" t="s">
        <v>35</v>
      </c>
      <c r="C787" s="16" t="str">
        <f t="shared" si="24"/>
        <v>Single</v>
      </c>
      <c r="D787" t="s">
        <v>33</v>
      </c>
      <c r="E787" s="16" t="str">
        <f t="shared" si="25"/>
        <v>Female</v>
      </c>
      <c r="F787" s="1">
        <v>40000</v>
      </c>
      <c r="G787">
        <v>0</v>
      </c>
      <c r="H787" t="s">
        <v>27</v>
      </c>
      <c r="I787" t="s">
        <v>14</v>
      </c>
      <c r="J787" t="s">
        <v>18</v>
      </c>
      <c r="K787">
        <v>2</v>
      </c>
      <c r="L787" t="s">
        <v>16</v>
      </c>
      <c r="M787" t="s">
        <v>32</v>
      </c>
      <c r="N787">
        <v>28</v>
      </c>
      <c r="O787" t="s">
        <v>15</v>
      </c>
    </row>
    <row r="788" spans="1:15" x14ac:dyDescent="0.2">
      <c r="A788">
        <v>15468</v>
      </c>
      <c r="B788" t="s">
        <v>34</v>
      </c>
      <c r="C788" s="16" t="str">
        <f t="shared" si="24"/>
        <v>Married</v>
      </c>
      <c r="D788" t="s">
        <v>33</v>
      </c>
      <c r="E788" s="16" t="str">
        <f t="shared" si="25"/>
        <v>Female</v>
      </c>
      <c r="F788" s="1">
        <v>50000</v>
      </c>
      <c r="G788">
        <v>1</v>
      </c>
      <c r="H788" t="s">
        <v>13</v>
      </c>
      <c r="I788" t="s">
        <v>14</v>
      </c>
      <c r="J788" t="s">
        <v>15</v>
      </c>
      <c r="K788">
        <v>1</v>
      </c>
      <c r="L788" t="s">
        <v>16</v>
      </c>
      <c r="M788" t="s">
        <v>32</v>
      </c>
      <c r="N788">
        <v>35</v>
      </c>
      <c r="O788" t="s">
        <v>18</v>
      </c>
    </row>
    <row r="789" spans="1:15" x14ac:dyDescent="0.2">
      <c r="A789">
        <v>28031</v>
      </c>
      <c r="B789" t="s">
        <v>35</v>
      </c>
      <c r="C789" s="16" t="str">
        <f t="shared" si="24"/>
        <v>Single</v>
      </c>
      <c r="D789" t="s">
        <v>33</v>
      </c>
      <c r="E789" s="16" t="str">
        <f t="shared" si="25"/>
        <v>Female</v>
      </c>
      <c r="F789" s="1">
        <v>70000</v>
      </c>
      <c r="G789">
        <v>2</v>
      </c>
      <c r="H789" t="s">
        <v>13</v>
      </c>
      <c r="I789" t="s">
        <v>28</v>
      </c>
      <c r="J789" t="s">
        <v>18</v>
      </c>
      <c r="K789">
        <v>1</v>
      </c>
      <c r="L789" t="s">
        <v>22</v>
      </c>
      <c r="M789" t="s">
        <v>32</v>
      </c>
      <c r="N789">
        <v>59</v>
      </c>
      <c r="O789" t="s">
        <v>15</v>
      </c>
    </row>
    <row r="790" spans="1:15" x14ac:dyDescent="0.2">
      <c r="A790">
        <v>26270</v>
      </c>
      <c r="B790" t="s">
        <v>35</v>
      </c>
      <c r="C790" s="16" t="str">
        <f t="shared" si="24"/>
        <v>Single</v>
      </c>
      <c r="D790" t="s">
        <v>33</v>
      </c>
      <c r="E790" s="16" t="str">
        <f t="shared" si="25"/>
        <v>Female</v>
      </c>
      <c r="F790" s="1">
        <v>20000</v>
      </c>
      <c r="G790">
        <v>2</v>
      </c>
      <c r="H790" t="s">
        <v>29</v>
      </c>
      <c r="I790" t="s">
        <v>20</v>
      </c>
      <c r="J790" t="s">
        <v>15</v>
      </c>
      <c r="K790">
        <v>2</v>
      </c>
      <c r="L790" t="s">
        <v>26</v>
      </c>
      <c r="M790" t="s">
        <v>32</v>
      </c>
      <c r="N790">
        <v>49</v>
      </c>
      <c r="O790" t="s">
        <v>18</v>
      </c>
    </row>
    <row r="791" spans="1:15" x14ac:dyDescent="0.2">
      <c r="A791">
        <v>22221</v>
      </c>
      <c r="B791" t="s">
        <v>34</v>
      </c>
      <c r="C791" s="16" t="str">
        <f t="shared" si="24"/>
        <v>Married</v>
      </c>
      <c r="D791" t="s">
        <v>34</v>
      </c>
      <c r="E791" s="16" t="str">
        <f t="shared" si="25"/>
        <v>Male</v>
      </c>
      <c r="F791" s="1">
        <v>60000</v>
      </c>
      <c r="G791">
        <v>2</v>
      </c>
      <c r="H791" t="s">
        <v>27</v>
      </c>
      <c r="I791" t="s">
        <v>21</v>
      </c>
      <c r="J791" t="s">
        <v>18</v>
      </c>
      <c r="K791">
        <v>2</v>
      </c>
      <c r="L791" t="s">
        <v>26</v>
      </c>
      <c r="M791" t="s">
        <v>32</v>
      </c>
      <c r="N791">
        <v>48</v>
      </c>
      <c r="O791" t="s">
        <v>15</v>
      </c>
    </row>
    <row r="792" spans="1:15" x14ac:dyDescent="0.2">
      <c r="A792">
        <v>28228</v>
      </c>
      <c r="B792" t="s">
        <v>35</v>
      </c>
      <c r="C792" s="16" t="str">
        <f t="shared" si="24"/>
        <v>Single</v>
      </c>
      <c r="D792" t="s">
        <v>33</v>
      </c>
      <c r="E792" s="16" t="str">
        <f t="shared" si="25"/>
        <v>Female</v>
      </c>
      <c r="F792" s="1">
        <v>80000</v>
      </c>
      <c r="G792">
        <v>2</v>
      </c>
      <c r="H792" t="s">
        <v>29</v>
      </c>
      <c r="I792" t="s">
        <v>14</v>
      </c>
      <c r="J792" t="s">
        <v>18</v>
      </c>
      <c r="K792">
        <v>2</v>
      </c>
      <c r="L792" t="s">
        <v>26</v>
      </c>
      <c r="M792" t="s">
        <v>32</v>
      </c>
      <c r="N792">
        <v>50</v>
      </c>
      <c r="O792" t="s">
        <v>18</v>
      </c>
    </row>
    <row r="793" spans="1:15" x14ac:dyDescent="0.2">
      <c r="A793">
        <v>18363</v>
      </c>
      <c r="B793" t="s">
        <v>34</v>
      </c>
      <c r="C793" s="16" t="str">
        <f t="shared" si="24"/>
        <v>Married</v>
      </c>
      <c r="D793" t="s">
        <v>34</v>
      </c>
      <c r="E793" s="16" t="str">
        <f t="shared" si="25"/>
        <v>Male</v>
      </c>
      <c r="F793" s="1">
        <v>40000</v>
      </c>
      <c r="G793">
        <v>0</v>
      </c>
      <c r="H793" t="s">
        <v>27</v>
      </c>
      <c r="I793" t="s">
        <v>14</v>
      </c>
      <c r="J793" t="s">
        <v>15</v>
      </c>
      <c r="K793">
        <v>2</v>
      </c>
      <c r="L793" t="s">
        <v>23</v>
      </c>
      <c r="M793" t="s">
        <v>32</v>
      </c>
      <c r="N793">
        <v>28</v>
      </c>
      <c r="O793" t="s">
        <v>15</v>
      </c>
    </row>
    <row r="794" spans="1:15" x14ac:dyDescent="0.2">
      <c r="A794">
        <v>23256</v>
      </c>
      <c r="B794" t="s">
        <v>35</v>
      </c>
      <c r="C794" s="16" t="str">
        <f t="shared" si="24"/>
        <v>Single</v>
      </c>
      <c r="D794" t="s">
        <v>34</v>
      </c>
      <c r="E794" s="16" t="str">
        <f t="shared" si="25"/>
        <v>Male</v>
      </c>
      <c r="F794" s="1">
        <v>30000</v>
      </c>
      <c r="G794">
        <v>1</v>
      </c>
      <c r="H794" t="s">
        <v>27</v>
      </c>
      <c r="I794" t="s">
        <v>20</v>
      </c>
      <c r="J794" t="s">
        <v>18</v>
      </c>
      <c r="K794">
        <v>1</v>
      </c>
      <c r="L794" t="s">
        <v>23</v>
      </c>
      <c r="M794" t="s">
        <v>32</v>
      </c>
      <c r="N794">
        <v>52</v>
      </c>
      <c r="O794" t="s">
        <v>18</v>
      </c>
    </row>
    <row r="795" spans="1:15" x14ac:dyDescent="0.2">
      <c r="A795">
        <v>12768</v>
      </c>
      <c r="B795" t="s">
        <v>34</v>
      </c>
      <c r="C795" s="16" t="str">
        <f t="shared" si="24"/>
        <v>Married</v>
      </c>
      <c r="D795" t="s">
        <v>34</v>
      </c>
      <c r="E795" s="16" t="str">
        <f t="shared" si="25"/>
        <v>Male</v>
      </c>
      <c r="F795" s="1">
        <v>30000</v>
      </c>
      <c r="G795">
        <v>1</v>
      </c>
      <c r="H795" t="s">
        <v>27</v>
      </c>
      <c r="I795" t="s">
        <v>20</v>
      </c>
      <c r="J795" t="s">
        <v>15</v>
      </c>
      <c r="K795">
        <v>1</v>
      </c>
      <c r="L795" t="s">
        <v>22</v>
      </c>
      <c r="M795" t="s">
        <v>32</v>
      </c>
      <c r="N795">
        <v>52</v>
      </c>
      <c r="O795" t="s">
        <v>15</v>
      </c>
    </row>
    <row r="796" spans="1:15" x14ac:dyDescent="0.2">
      <c r="A796">
        <v>20361</v>
      </c>
      <c r="B796" t="s">
        <v>34</v>
      </c>
      <c r="C796" s="16" t="str">
        <f t="shared" si="24"/>
        <v>Married</v>
      </c>
      <c r="D796" t="s">
        <v>34</v>
      </c>
      <c r="E796" s="16" t="str">
        <f t="shared" si="25"/>
        <v>Male</v>
      </c>
      <c r="F796" s="1">
        <v>50000</v>
      </c>
      <c r="G796">
        <v>2</v>
      </c>
      <c r="H796" t="s">
        <v>31</v>
      </c>
      <c r="I796" t="s">
        <v>28</v>
      </c>
      <c r="J796" t="s">
        <v>15</v>
      </c>
      <c r="K796">
        <v>2</v>
      </c>
      <c r="L796" t="s">
        <v>23</v>
      </c>
      <c r="M796" t="s">
        <v>32</v>
      </c>
      <c r="N796">
        <v>69</v>
      </c>
      <c r="O796" t="s">
        <v>18</v>
      </c>
    </row>
    <row r="797" spans="1:15" x14ac:dyDescent="0.2">
      <c r="A797">
        <v>21306</v>
      </c>
      <c r="B797" t="s">
        <v>35</v>
      </c>
      <c r="C797" s="16" t="str">
        <f t="shared" si="24"/>
        <v>Single</v>
      </c>
      <c r="D797" t="s">
        <v>34</v>
      </c>
      <c r="E797" s="16" t="str">
        <f t="shared" si="25"/>
        <v>Male</v>
      </c>
      <c r="F797" s="1">
        <v>60000</v>
      </c>
      <c r="G797">
        <v>2</v>
      </c>
      <c r="H797" t="s">
        <v>27</v>
      </c>
      <c r="I797" t="s">
        <v>21</v>
      </c>
      <c r="J797" t="s">
        <v>15</v>
      </c>
      <c r="K797">
        <v>2</v>
      </c>
      <c r="L797" t="s">
        <v>23</v>
      </c>
      <c r="M797" t="s">
        <v>32</v>
      </c>
      <c r="N797">
        <v>51</v>
      </c>
      <c r="O797" t="s">
        <v>18</v>
      </c>
    </row>
    <row r="798" spans="1:15" x14ac:dyDescent="0.2">
      <c r="A798">
        <v>13382</v>
      </c>
      <c r="B798" t="s">
        <v>34</v>
      </c>
      <c r="C798" s="16" t="str">
        <f t="shared" si="24"/>
        <v>Married</v>
      </c>
      <c r="D798" t="s">
        <v>34</v>
      </c>
      <c r="E798" s="16" t="str">
        <f t="shared" si="25"/>
        <v>Male</v>
      </c>
      <c r="F798" s="1">
        <v>70000</v>
      </c>
      <c r="G798">
        <v>5</v>
      </c>
      <c r="H798" t="s">
        <v>19</v>
      </c>
      <c r="I798" t="s">
        <v>21</v>
      </c>
      <c r="J798" t="s">
        <v>15</v>
      </c>
      <c r="K798">
        <v>2</v>
      </c>
      <c r="L798" t="s">
        <v>26</v>
      </c>
      <c r="M798" t="s">
        <v>32</v>
      </c>
      <c r="N798">
        <v>57</v>
      </c>
      <c r="O798" t="s">
        <v>15</v>
      </c>
    </row>
    <row r="799" spans="1:15" x14ac:dyDescent="0.2">
      <c r="A799">
        <v>20310</v>
      </c>
      <c r="B799" t="s">
        <v>35</v>
      </c>
      <c r="C799" s="16" t="str">
        <f t="shared" si="24"/>
        <v>Single</v>
      </c>
      <c r="D799" t="s">
        <v>34</v>
      </c>
      <c r="E799" s="16" t="str">
        <f t="shared" si="25"/>
        <v>Male</v>
      </c>
      <c r="F799" s="1">
        <v>60000</v>
      </c>
      <c r="G799">
        <v>0</v>
      </c>
      <c r="H799" t="s">
        <v>19</v>
      </c>
      <c r="I799" t="s">
        <v>14</v>
      </c>
      <c r="J799" t="s">
        <v>15</v>
      </c>
      <c r="K799">
        <v>1</v>
      </c>
      <c r="L799" t="s">
        <v>23</v>
      </c>
      <c r="M799" t="s">
        <v>32</v>
      </c>
      <c r="N799">
        <v>27</v>
      </c>
      <c r="O799" t="s">
        <v>15</v>
      </c>
    </row>
    <row r="800" spans="1:15" x14ac:dyDescent="0.2">
      <c r="A800">
        <v>22971</v>
      </c>
      <c r="B800" t="s">
        <v>35</v>
      </c>
      <c r="C800" s="16" t="str">
        <f t="shared" si="24"/>
        <v>Single</v>
      </c>
      <c r="D800" t="s">
        <v>33</v>
      </c>
      <c r="E800" s="16" t="str">
        <f t="shared" si="25"/>
        <v>Female</v>
      </c>
      <c r="F800" s="1">
        <v>30000</v>
      </c>
      <c r="G800">
        <v>0</v>
      </c>
      <c r="H800" t="s">
        <v>27</v>
      </c>
      <c r="I800" t="s">
        <v>14</v>
      </c>
      <c r="J800" t="s">
        <v>18</v>
      </c>
      <c r="K800">
        <v>2</v>
      </c>
      <c r="L800" t="s">
        <v>16</v>
      </c>
      <c r="M800" t="s">
        <v>32</v>
      </c>
      <c r="N800">
        <v>25</v>
      </c>
      <c r="O800" t="s">
        <v>15</v>
      </c>
    </row>
    <row r="801" spans="1:15" x14ac:dyDescent="0.2">
      <c r="A801">
        <v>15287</v>
      </c>
      <c r="B801" t="s">
        <v>35</v>
      </c>
      <c r="C801" s="16" t="str">
        <f t="shared" si="24"/>
        <v>Single</v>
      </c>
      <c r="D801" t="s">
        <v>33</v>
      </c>
      <c r="E801" s="16" t="str">
        <f t="shared" si="25"/>
        <v>Female</v>
      </c>
      <c r="F801" s="1">
        <v>50000</v>
      </c>
      <c r="G801">
        <v>1</v>
      </c>
      <c r="H801" t="s">
        <v>31</v>
      </c>
      <c r="I801" t="s">
        <v>14</v>
      </c>
      <c r="J801" t="s">
        <v>15</v>
      </c>
      <c r="K801">
        <v>0</v>
      </c>
      <c r="L801" t="s">
        <v>26</v>
      </c>
      <c r="M801" t="s">
        <v>32</v>
      </c>
      <c r="N801">
        <v>33</v>
      </c>
      <c r="O801" t="s">
        <v>15</v>
      </c>
    </row>
    <row r="802" spans="1:15" x14ac:dyDescent="0.2">
      <c r="A802">
        <v>15532</v>
      </c>
      <c r="B802" t="s">
        <v>35</v>
      </c>
      <c r="C802" s="16" t="str">
        <f t="shared" si="24"/>
        <v>Single</v>
      </c>
      <c r="D802" t="s">
        <v>34</v>
      </c>
      <c r="E802" s="16" t="str">
        <f t="shared" si="25"/>
        <v>Male</v>
      </c>
      <c r="F802" s="1">
        <v>60000</v>
      </c>
      <c r="G802">
        <v>4</v>
      </c>
      <c r="H802" t="s">
        <v>13</v>
      </c>
      <c r="I802" t="s">
        <v>21</v>
      </c>
      <c r="J802" t="s">
        <v>15</v>
      </c>
      <c r="K802">
        <v>2</v>
      </c>
      <c r="L802" t="s">
        <v>22</v>
      </c>
      <c r="M802" t="s">
        <v>32</v>
      </c>
      <c r="N802">
        <v>43</v>
      </c>
      <c r="O802" t="s">
        <v>15</v>
      </c>
    </row>
    <row r="803" spans="1:15" x14ac:dyDescent="0.2">
      <c r="A803">
        <v>11255</v>
      </c>
      <c r="B803" t="s">
        <v>34</v>
      </c>
      <c r="C803" s="16" t="str">
        <f t="shared" si="24"/>
        <v>Married</v>
      </c>
      <c r="D803" t="s">
        <v>34</v>
      </c>
      <c r="E803" s="16" t="str">
        <f t="shared" si="25"/>
        <v>Male</v>
      </c>
      <c r="F803" s="1">
        <v>70000</v>
      </c>
      <c r="G803">
        <v>4</v>
      </c>
      <c r="H803" t="s">
        <v>31</v>
      </c>
      <c r="I803" t="s">
        <v>28</v>
      </c>
      <c r="J803" t="s">
        <v>15</v>
      </c>
      <c r="K803">
        <v>2</v>
      </c>
      <c r="L803" t="s">
        <v>23</v>
      </c>
      <c r="M803" t="s">
        <v>32</v>
      </c>
      <c r="N803">
        <v>73</v>
      </c>
      <c r="O803" t="s">
        <v>18</v>
      </c>
    </row>
    <row r="804" spans="1:15" x14ac:dyDescent="0.2">
      <c r="A804">
        <v>28090</v>
      </c>
      <c r="B804" t="s">
        <v>34</v>
      </c>
      <c r="C804" s="16" t="str">
        <f t="shared" si="24"/>
        <v>Married</v>
      </c>
      <c r="D804" t="s">
        <v>34</v>
      </c>
      <c r="E804" s="16" t="str">
        <f t="shared" si="25"/>
        <v>Male</v>
      </c>
      <c r="F804" s="1">
        <v>40000</v>
      </c>
      <c r="G804">
        <v>0</v>
      </c>
      <c r="H804" t="s">
        <v>19</v>
      </c>
      <c r="I804" t="s">
        <v>14</v>
      </c>
      <c r="J804" t="s">
        <v>15</v>
      </c>
      <c r="K804">
        <v>1</v>
      </c>
      <c r="L804" t="s">
        <v>23</v>
      </c>
      <c r="M804" t="s">
        <v>32</v>
      </c>
      <c r="N804">
        <v>27</v>
      </c>
      <c r="O804" t="s">
        <v>18</v>
      </c>
    </row>
    <row r="805" spans="1:15" x14ac:dyDescent="0.2">
      <c r="A805">
        <v>15255</v>
      </c>
      <c r="B805" t="s">
        <v>34</v>
      </c>
      <c r="C805" s="16" t="str">
        <f t="shared" si="24"/>
        <v>Married</v>
      </c>
      <c r="D805" t="s">
        <v>34</v>
      </c>
      <c r="E805" s="16" t="str">
        <f t="shared" si="25"/>
        <v>Male</v>
      </c>
      <c r="F805" s="1">
        <v>40000</v>
      </c>
      <c r="G805">
        <v>0</v>
      </c>
      <c r="H805" t="s">
        <v>27</v>
      </c>
      <c r="I805" t="s">
        <v>14</v>
      </c>
      <c r="J805" t="s">
        <v>15</v>
      </c>
      <c r="K805">
        <v>2</v>
      </c>
      <c r="L805" t="s">
        <v>23</v>
      </c>
      <c r="M805" t="s">
        <v>32</v>
      </c>
      <c r="N805">
        <v>28</v>
      </c>
      <c r="O805" t="s">
        <v>15</v>
      </c>
    </row>
    <row r="806" spans="1:15" x14ac:dyDescent="0.2">
      <c r="A806">
        <v>13154</v>
      </c>
      <c r="B806" t="s">
        <v>34</v>
      </c>
      <c r="C806" s="16" t="str">
        <f t="shared" si="24"/>
        <v>Married</v>
      </c>
      <c r="D806" t="s">
        <v>34</v>
      </c>
      <c r="E806" s="16" t="str">
        <f t="shared" si="25"/>
        <v>Male</v>
      </c>
      <c r="F806" s="1">
        <v>40000</v>
      </c>
      <c r="G806">
        <v>0</v>
      </c>
      <c r="H806" t="s">
        <v>27</v>
      </c>
      <c r="I806" t="s">
        <v>14</v>
      </c>
      <c r="J806" t="s">
        <v>18</v>
      </c>
      <c r="K806">
        <v>2</v>
      </c>
      <c r="L806" t="s">
        <v>16</v>
      </c>
      <c r="M806" t="s">
        <v>32</v>
      </c>
      <c r="N806">
        <v>27</v>
      </c>
      <c r="O806" t="s">
        <v>15</v>
      </c>
    </row>
    <row r="807" spans="1:15" x14ac:dyDescent="0.2">
      <c r="A807">
        <v>26778</v>
      </c>
      <c r="B807" t="s">
        <v>35</v>
      </c>
      <c r="C807" s="16" t="str">
        <f t="shared" si="24"/>
        <v>Single</v>
      </c>
      <c r="D807" t="s">
        <v>33</v>
      </c>
      <c r="E807" s="16" t="str">
        <f t="shared" si="25"/>
        <v>Female</v>
      </c>
      <c r="F807" s="1">
        <v>40000</v>
      </c>
      <c r="G807">
        <v>0</v>
      </c>
      <c r="H807" t="s">
        <v>27</v>
      </c>
      <c r="I807" t="s">
        <v>14</v>
      </c>
      <c r="J807" t="s">
        <v>15</v>
      </c>
      <c r="K807">
        <v>2</v>
      </c>
      <c r="L807" t="s">
        <v>23</v>
      </c>
      <c r="M807" t="s">
        <v>32</v>
      </c>
      <c r="N807">
        <v>31</v>
      </c>
      <c r="O807" t="s">
        <v>18</v>
      </c>
    </row>
    <row r="808" spans="1:15" x14ac:dyDescent="0.2">
      <c r="A808">
        <v>23248</v>
      </c>
      <c r="B808" t="s">
        <v>34</v>
      </c>
      <c r="C808" s="16" t="str">
        <f t="shared" si="24"/>
        <v>Married</v>
      </c>
      <c r="D808" t="s">
        <v>33</v>
      </c>
      <c r="E808" s="16" t="str">
        <f t="shared" si="25"/>
        <v>Female</v>
      </c>
      <c r="F808" s="1">
        <v>10000</v>
      </c>
      <c r="G808">
        <v>2</v>
      </c>
      <c r="H808" t="s">
        <v>27</v>
      </c>
      <c r="I808" t="s">
        <v>25</v>
      </c>
      <c r="J808" t="s">
        <v>15</v>
      </c>
      <c r="K808">
        <v>2</v>
      </c>
      <c r="L808" t="s">
        <v>26</v>
      </c>
      <c r="M808" t="s">
        <v>32</v>
      </c>
      <c r="N808">
        <v>53</v>
      </c>
      <c r="O808" t="s">
        <v>18</v>
      </c>
    </row>
    <row r="809" spans="1:15" x14ac:dyDescent="0.2">
      <c r="A809">
        <v>21417</v>
      </c>
      <c r="B809" t="s">
        <v>35</v>
      </c>
      <c r="C809" s="16" t="str">
        <f t="shared" si="24"/>
        <v>Single</v>
      </c>
      <c r="D809" t="s">
        <v>33</v>
      </c>
      <c r="E809" s="16" t="str">
        <f t="shared" si="25"/>
        <v>Female</v>
      </c>
      <c r="F809" s="1">
        <v>60000</v>
      </c>
      <c r="G809">
        <v>0</v>
      </c>
      <c r="H809" t="s">
        <v>19</v>
      </c>
      <c r="I809" t="s">
        <v>21</v>
      </c>
      <c r="J809" t="s">
        <v>18</v>
      </c>
      <c r="K809">
        <v>2</v>
      </c>
      <c r="L809" t="s">
        <v>26</v>
      </c>
      <c r="M809" t="s">
        <v>32</v>
      </c>
      <c r="N809">
        <v>32</v>
      </c>
      <c r="O809" t="s">
        <v>15</v>
      </c>
    </row>
    <row r="810" spans="1:15" x14ac:dyDescent="0.2">
      <c r="A810">
        <v>17668</v>
      </c>
      <c r="B810" t="s">
        <v>35</v>
      </c>
      <c r="C810" s="16" t="str">
        <f t="shared" si="24"/>
        <v>Single</v>
      </c>
      <c r="D810" t="s">
        <v>34</v>
      </c>
      <c r="E810" s="16" t="str">
        <f t="shared" si="25"/>
        <v>Male</v>
      </c>
      <c r="F810" s="1">
        <v>30000</v>
      </c>
      <c r="G810">
        <v>2</v>
      </c>
      <c r="H810" t="s">
        <v>27</v>
      </c>
      <c r="I810" t="s">
        <v>14</v>
      </c>
      <c r="J810" t="s">
        <v>15</v>
      </c>
      <c r="K810">
        <v>2</v>
      </c>
      <c r="L810" t="s">
        <v>26</v>
      </c>
      <c r="M810" t="s">
        <v>32</v>
      </c>
      <c r="N810">
        <v>50</v>
      </c>
      <c r="O810" t="s">
        <v>15</v>
      </c>
    </row>
    <row r="811" spans="1:15" x14ac:dyDescent="0.2">
      <c r="A811">
        <v>27994</v>
      </c>
      <c r="B811" t="s">
        <v>34</v>
      </c>
      <c r="C811" s="16" t="str">
        <f t="shared" si="24"/>
        <v>Married</v>
      </c>
      <c r="D811" t="s">
        <v>33</v>
      </c>
      <c r="E811" s="16" t="str">
        <f t="shared" si="25"/>
        <v>Female</v>
      </c>
      <c r="F811" s="1">
        <v>40000</v>
      </c>
      <c r="G811">
        <v>4</v>
      </c>
      <c r="H811" t="s">
        <v>27</v>
      </c>
      <c r="I811" t="s">
        <v>21</v>
      </c>
      <c r="J811" t="s">
        <v>15</v>
      </c>
      <c r="K811">
        <v>2</v>
      </c>
      <c r="L811" t="s">
        <v>23</v>
      </c>
      <c r="M811" t="s">
        <v>32</v>
      </c>
      <c r="N811">
        <v>69</v>
      </c>
      <c r="O811" t="s">
        <v>18</v>
      </c>
    </row>
    <row r="812" spans="1:15" x14ac:dyDescent="0.2">
      <c r="A812">
        <v>20376</v>
      </c>
      <c r="B812" t="s">
        <v>35</v>
      </c>
      <c r="C812" s="16" t="str">
        <f t="shared" si="24"/>
        <v>Single</v>
      </c>
      <c r="D812" t="s">
        <v>33</v>
      </c>
      <c r="E812" s="16" t="str">
        <f t="shared" si="25"/>
        <v>Female</v>
      </c>
      <c r="F812" s="1">
        <v>70000</v>
      </c>
      <c r="G812">
        <v>3</v>
      </c>
      <c r="H812" t="s">
        <v>31</v>
      </c>
      <c r="I812" t="s">
        <v>28</v>
      </c>
      <c r="J812" t="s">
        <v>15</v>
      </c>
      <c r="K812">
        <v>2</v>
      </c>
      <c r="L812" t="s">
        <v>23</v>
      </c>
      <c r="M812" t="s">
        <v>32</v>
      </c>
      <c r="N812">
        <v>52</v>
      </c>
      <c r="O812" t="s">
        <v>15</v>
      </c>
    </row>
    <row r="813" spans="1:15" x14ac:dyDescent="0.2">
      <c r="A813">
        <v>25954</v>
      </c>
      <c r="B813" t="s">
        <v>34</v>
      </c>
      <c r="C813" s="16" t="str">
        <f t="shared" si="24"/>
        <v>Married</v>
      </c>
      <c r="D813" t="s">
        <v>34</v>
      </c>
      <c r="E813" s="16" t="str">
        <f t="shared" si="25"/>
        <v>Male</v>
      </c>
      <c r="F813" s="1">
        <v>60000</v>
      </c>
      <c r="G813">
        <v>0</v>
      </c>
      <c r="H813" t="s">
        <v>19</v>
      </c>
      <c r="I813" t="s">
        <v>14</v>
      </c>
      <c r="J813" t="s">
        <v>18</v>
      </c>
      <c r="K813">
        <v>2</v>
      </c>
      <c r="L813" t="s">
        <v>26</v>
      </c>
      <c r="M813" t="s">
        <v>32</v>
      </c>
      <c r="N813">
        <v>31</v>
      </c>
      <c r="O813" t="s">
        <v>18</v>
      </c>
    </row>
    <row r="814" spans="1:15" x14ac:dyDescent="0.2">
      <c r="A814">
        <v>15749</v>
      </c>
      <c r="B814" t="s">
        <v>35</v>
      </c>
      <c r="C814" s="16" t="str">
        <f t="shared" si="24"/>
        <v>Single</v>
      </c>
      <c r="D814" t="s">
        <v>33</v>
      </c>
      <c r="E814" s="16" t="str">
        <f t="shared" si="25"/>
        <v>Female</v>
      </c>
      <c r="F814" s="1">
        <v>70000</v>
      </c>
      <c r="G814">
        <v>4</v>
      </c>
      <c r="H814" t="s">
        <v>13</v>
      </c>
      <c r="I814" t="s">
        <v>28</v>
      </c>
      <c r="J814" t="s">
        <v>15</v>
      </c>
      <c r="K814">
        <v>2</v>
      </c>
      <c r="L814" t="s">
        <v>30</v>
      </c>
      <c r="M814" t="s">
        <v>32</v>
      </c>
      <c r="N814">
        <v>61</v>
      </c>
      <c r="O814" t="s">
        <v>18</v>
      </c>
    </row>
    <row r="815" spans="1:15" x14ac:dyDescent="0.2">
      <c r="A815">
        <v>25899</v>
      </c>
      <c r="B815" t="s">
        <v>34</v>
      </c>
      <c r="C815" s="16" t="str">
        <f t="shared" si="24"/>
        <v>Married</v>
      </c>
      <c r="D815" t="s">
        <v>33</v>
      </c>
      <c r="E815" s="16" t="str">
        <f t="shared" si="25"/>
        <v>Female</v>
      </c>
      <c r="F815" s="1">
        <v>70000</v>
      </c>
      <c r="G815">
        <v>2</v>
      </c>
      <c r="H815" t="s">
        <v>27</v>
      </c>
      <c r="I815" t="s">
        <v>21</v>
      </c>
      <c r="J815" t="s">
        <v>15</v>
      </c>
      <c r="K815">
        <v>2</v>
      </c>
      <c r="L815" t="s">
        <v>30</v>
      </c>
      <c r="M815" t="s">
        <v>32</v>
      </c>
      <c r="N815">
        <v>53</v>
      </c>
      <c r="O815" t="s">
        <v>18</v>
      </c>
    </row>
    <row r="816" spans="1:15" x14ac:dyDescent="0.2">
      <c r="A816">
        <v>13351</v>
      </c>
      <c r="B816" t="s">
        <v>35</v>
      </c>
      <c r="C816" s="16" t="str">
        <f t="shared" si="24"/>
        <v>Single</v>
      </c>
      <c r="D816" t="s">
        <v>33</v>
      </c>
      <c r="E816" s="16" t="str">
        <f t="shared" si="25"/>
        <v>Female</v>
      </c>
      <c r="F816" s="1">
        <v>70000</v>
      </c>
      <c r="G816">
        <v>4</v>
      </c>
      <c r="H816" t="s">
        <v>13</v>
      </c>
      <c r="I816" t="s">
        <v>28</v>
      </c>
      <c r="J816" t="s">
        <v>15</v>
      </c>
      <c r="K816">
        <v>2</v>
      </c>
      <c r="L816" t="s">
        <v>26</v>
      </c>
      <c r="M816" t="s">
        <v>32</v>
      </c>
      <c r="N816">
        <v>62</v>
      </c>
      <c r="O816" t="s">
        <v>15</v>
      </c>
    </row>
    <row r="817" spans="1:15" x14ac:dyDescent="0.2">
      <c r="A817">
        <v>23333</v>
      </c>
      <c r="B817" t="s">
        <v>34</v>
      </c>
      <c r="C817" s="16" t="str">
        <f t="shared" si="24"/>
        <v>Married</v>
      </c>
      <c r="D817" t="s">
        <v>34</v>
      </c>
      <c r="E817" s="16" t="str">
        <f t="shared" si="25"/>
        <v>Male</v>
      </c>
      <c r="F817" s="1">
        <v>40000</v>
      </c>
      <c r="G817">
        <v>0</v>
      </c>
      <c r="H817" t="s">
        <v>19</v>
      </c>
      <c r="I817" t="s">
        <v>14</v>
      </c>
      <c r="J817" t="s">
        <v>18</v>
      </c>
      <c r="K817">
        <v>2</v>
      </c>
      <c r="L817" t="s">
        <v>26</v>
      </c>
      <c r="M817" t="s">
        <v>32</v>
      </c>
      <c r="N817">
        <v>30</v>
      </c>
      <c r="O817" t="s">
        <v>18</v>
      </c>
    </row>
    <row r="818" spans="1:15" x14ac:dyDescent="0.2">
      <c r="A818">
        <v>21660</v>
      </c>
      <c r="B818" t="s">
        <v>34</v>
      </c>
      <c r="C818" s="16" t="str">
        <f t="shared" si="24"/>
        <v>Married</v>
      </c>
      <c r="D818" t="s">
        <v>33</v>
      </c>
      <c r="E818" s="16" t="str">
        <f t="shared" si="25"/>
        <v>Female</v>
      </c>
      <c r="F818" s="1">
        <v>60000</v>
      </c>
      <c r="G818">
        <v>3</v>
      </c>
      <c r="H818" t="s">
        <v>31</v>
      </c>
      <c r="I818" t="s">
        <v>21</v>
      </c>
      <c r="J818" t="s">
        <v>15</v>
      </c>
      <c r="K818">
        <v>0</v>
      </c>
      <c r="L818" t="s">
        <v>22</v>
      </c>
      <c r="M818" t="s">
        <v>32</v>
      </c>
      <c r="N818">
        <v>43</v>
      </c>
      <c r="O818" t="s">
        <v>15</v>
      </c>
    </row>
    <row r="819" spans="1:15" x14ac:dyDescent="0.2">
      <c r="A819">
        <v>17012</v>
      </c>
      <c r="B819" t="s">
        <v>34</v>
      </c>
      <c r="C819" s="16" t="str">
        <f t="shared" si="24"/>
        <v>Married</v>
      </c>
      <c r="D819" t="s">
        <v>33</v>
      </c>
      <c r="E819" s="16" t="str">
        <f t="shared" si="25"/>
        <v>Female</v>
      </c>
      <c r="F819" s="1">
        <v>60000</v>
      </c>
      <c r="G819">
        <v>3</v>
      </c>
      <c r="H819" t="s">
        <v>31</v>
      </c>
      <c r="I819" t="s">
        <v>21</v>
      </c>
      <c r="J819" t="s">
        <v>15</v>
      </c>
      <c r="K819">
        <v>0</v>
      </c>
      <c r="L819" t="s">
        <v>22</v>
      </c>
      <c r="M819" t="s">
        <v>32</v>
      </c>
      <c r="N819">
        <v>42</v>
      </c>
      <c r="O819" t="s">
        <v>15</v>
      </c>
    </row>
    <row r="820" spans="1:15" x14ac:dyDescent="0.2">
      <c r="A820">
        <v>24514</v>
      </c>
      <c r="B820" t="s">
        <v>34</v>
      </c>
      <c r="C820" s="16" t="str">
        <f t="shared" si="24"/>
        <v>Married</v>
      </c>
      <c r="D820" t="s">
        <v>34</v>
      </c>
      <c r="E820" s="16" t="str">
        <f t="shared" si="25"/>
        <v>Male</v>
      </c>
      <c r="F820" s="1">
        <v>40000</v>
      </c>
      <c r="G820">
        <v>0</v>
      </c>
      <c r="H820" t="s">
        <v>19</v>
      </c>
      <c r="I820" t="s">
        <v>14</v>
      </c>
      <c r="J820" t="s">
        <v>15</v>
      </c>
      <c r="K820">
        <v>1</v>
      </c>
      <c r="L820" t="s">
        <v>23</v>
      </c>
      <c r="M820" t="s">
        <v>32</v>
      </c>
      <c r="N820">
        <v>30</v>
      </c>
      <c r="O820" t="s">
        <v>18</v>
      </c>
    </row>
    <row r="821" spans="1:15" x14ac:dyDescent="0.2">
      <c r="A821">
        <v>27505</v>
      </c>
      <c r="B821" t="s">
        <v>35</v>
      </c>
      <c r="C821" s="16" t="str">
        <f t="shared" si="24"/>
        <v>Single</v>
      </c>
      <c r="D821" t="s">
        <v>33</v>
      </c>
      <c r="E821" s="16" t="str">
        <f t="shared" si="25"/>
        <v>Female</v>
      </c>
      <c r="F821" s="1">
        <v>40000</v>
      </c>
      <c r="G821">
        <v>0</v>
      </c>
      <c r="H821" t="s">
        <v>27</v>
      </c>
      <c r="I821" t="s">
        <v>14</v>
      </c>
      <c r="J821" t="s">
        <v>15</v>
      </c>
      <c r="K821">
        <v>2</v>
      </c>
      <c r="L821" t="s">
        <v>23</v>
      </c>
      <c r="M821" t="s">
        <v>32</v>
      </c>
      <c r="N821">
        <v>30</v>
      </c>
      <c r="O821" t="s">
        <v>18</v>
      </c>
    </row>
    <row r="822" spans="1:15" x14ac:dyDescent="0.2">
      <c r="A822">
        <v>29243</v>
      </c>
      <c r="B822" t="s">
        <v>35</v>
      </c>
      <c r="C822" s="16" t="str">
        <f t="shared" si="24"/>
        <v>Single</v>
      </c>
      <c r="D822" t="s">
        <v>34</v>
      </c>
      <c r="E822" s="16" t="str">
        <f t="shared" si="25"/>
        <v>Male</v>
      </c>
      <c r="F822" s="1">
        <v>110000</v>
      </c>
      <c r="G822">
        <v>1</v>
      </c>
      <c r="H822" t="s">
        <v>13</v>
      </c>
      <c r="I822" t="s">
        <v>28</v>
      </c>
      <c r="J822" t="s">
        <v>15</v>
      </c>
      <c r="K822">
        <v>1</v>
      </c>
      <c r="L822" t="s">
        <v>23</v>
      </c>
      <c r="M822" t="s">
        <v>32</v>
      </c>
      <c r="N822">
        <v>43</v>
      </c>
      <c r="O822" t="s">
        <v>18</v>
      </c>
    </row>
    <row r="823" spans="1:15" x14ac:dyDescent="0.2">
      <c r="A823">
        <v>26582</v>
      </c>
      <c r="B823" t="s">
        <v>34</v>
      </c>
      <c r="C823" s="16" t="str">
        <f t="shared" si="24"/>
        <v>Married</v>
      </c>
      <c r="D823" t="s">
        <v>34</v>
      </c>
      <c r="E823" s="16" t="str">
        <f t="shared" si="25"/>
        <v>Male</v>
      </c>
      <c r="F823" s="1">
        <v>60000</v>
      </c>
      <c r="G823">
        <v>0</v>
      </c>
      <c r="H823" t="s">
        <v>19</v>
      </c>
      <c r="I823" t="s">
        <v>14</v>
      </c>
      <c r="J823" t="s">
        <v>15</v>
      </c>
      <c r="K823">
        <v>2</v>
      </c>
      <c r="L823" t="s">
        <v>23</v>
      </c>
      <c r="M823" t="s">
        <v>32</v>
      </c>
      <c r="N823">
        <v>33</v>
      </c>
      <c r="O823" t="s">
        <v>15</v>
      </c>
    </row>
    <row r="824" spans="1:15" x14ac:dyDescent="0.2">
      <c r="A824">
        <v>14271</v>
      </c>
      <c r="B824" t="s">
        <v>34</v>
      </c>
      <c r="C824" s="16" t="str">
        <f t="shared" si="24"/>
        <v>Married</v>
      </c>
      <c r="D824" t="s">
        <v>34</v>
      </c>
      <c r="E824" s="16" t="str">
        <f t="shared" si="25"/>
        <v>Male</v>
      </c>
      <c r="F824" s="1">
        <v>30000</v>
      </c>
      <c r="G824">
        <v>0</v>
      </c>
      <c r="H824" t="s">
        <v>27</v>
      </c>
      <c r="I824" t="s">
        <v>14</v>
      </c>
      <c r="J824" t="s">
        <v>15</v>
      </c>
      <c r="K824">
        <v>2</v>
      </c>
      <c r="L824" t="s">
        <v>23</v>
      </c>
      <c r="M824" t="s">
        <v>32</v>
      </c>
      <c r="N824">
        <v>32</v>
      </c>
      <c r="O824" t="s">
        <v>18</v>
      </c>
    </row>
    <row r="825" spans="1:15" x14ac:dyDescent="0.2">
      <c r="A825">
        <v>23041</v>
      </c>
      <c r="B825" t="s">
        <v>35</v>
      </c>
      <c r="C825" s="16" t="str">
        <f t="shared" si="24"/>
        <v>Single</v>
      </c>
      <c r="D825" t="s">
        <v>33</v>
      </c>
      <c r="E825" s="16" t="str">
        <f t="shared" si="25"/>
        <v>Female</v>
      </c>
      <c r="F825" s="1">
        <v>70000</v>
      </c>
      <c r="G825">
        <v>4</v>
      </c>
      <c r="H825" t="s">
        <v>27</v>
      </c>
      <c r="I825" t="s">
        <v>21</v>
      </c>
      <c r="J825" t="s">
        <v>15</v>
      </c>
      <c r="K825">
        <v>0</v>
      </c>
      <c r="L825" t="s">
        <v>23</v>
      </c>
      <c r="M825" t="s">
        <v>32</v>
      </c>
      <c r="N825">
        <v>50</v>
      </c>
      <c r="O825" t="s">
        <v>15</v>
      </c>
    </row>
    <row r="826" spans="1:15" x14ac:dyDescent="0.2">
      <c r="A826">
        <v>29048</v>
      </c>
      <c r="B826" t="s">
        <v>35</v>
      </c>
      <c r="C826" s="16" t="str">
        <f t="shared" si="24"/>
        <v>Single</v>
      </c>
      <c r="D826" t="s">
        <v>34</v>
      </c>
      <c r="E826" s="16" t="str">
        <f t="shared" si="25"/>
        <v>Male</v>
      </c>
      <c r="F826" s="1">
        <v>110000</v>
      </c>
      <c r="G826">
        <v>2</v>
      </c>
      <c r="H826" t="s">
        <v>13</v>
      </c>
      <c r="I826" t="s">
        <v>28</v>
      </c>
      <c r="J826" t="s">
        <v>18</v>
      </c>
      <c r="K826">
        <v>3</v>
      </c>
      <c r="L826" t="s">
        <v>16</v>
      </c>
      <c r="M826" t="s">
        <v>32</v>
      </c>
      <c r="N826">
        <v>37</v>
      </c>
      <c r="O826" t="s">
        <v>15</v>
      </c>
    </row>
    <row r="827" spans="1:15" x14ac:dyDescent="0.2">
      <c r="A827">
        <v>24433</v>
      </c>
      <c r="B827" t="s">
        <v>34</v>
      </c>
      <c r="C827" s="16" t="str">
        <f t="shared" si="24"/>
        <v>Married</v>
      </c>
      <c r="D827" t="s">
        <v>34</v>
      </c>
      <c r="E827" s="16" t="str">
        <f t="shared" si="25"/>
        <v>Male</v>
      </c>
      <c r="F827" s="1">
        <v>70000</v>
      </c>
      <c r="G827">
        <v>3</v>
      </c>
      <c r="H827" t="s">
        <v>27</v>
      </c>
      <c r="I827" t="s">
        <v>21</v>
      </c>
      <c r="J827" t="s">
        <v>18</v>
      </c>
      <c r="K827">
        <v>1</v>
      </c>
      <c r="L827" t="s">
        <v>26</v>
      </c>
      <c r="M827" t="s">
        <v>32</v>
      </c>
      <c r="N827">
        <v>52</v>
      </c>
      <c r="O827" t="s">
        <v>15</v>
      </c>
    </row>
    <row r="828" spans="1:15" x14ac:dyDescent="0.2">
      <c r="A828">
        <v>15501</v>
      </c>
      <c r="B828" t="s">
        <v>34</v>
      </c>
      <c r="C828" s="16" t="str">
        <f t="shared" si="24"/>
        <v>Married</v>
      </c>
      <c r="D828" t="s">
        <v>34</v>
      </c>
      <c r="E828" s="16" t="str">
        <f t="shared" si="25"/>
        <v>Male</v>
      </c>
      <c r="F828" s="1">
        <v>70000</v>
      </c>
      <c r="G828">
        <v>4</v>
      </c>
      <c r="H828" t="s">
        <v>31</v>
      </c>
      <c r="I828" t="s">
        <v>21</v>
      </c>
      <c r="J828" t="s">
        <v>15</v>
      </c>
      <c r="K828">
        <v>0</v>
      </c>
      <c r="L828" t="s">
        <v>22</v>
      </c>
      <c r="M828" t="s">
        <v>32</v>
      </c>
      <c r="N828">
        <v>36</v>
      </c>
      <c r="O828" t="s">
        <v>15</v>
      </c>
    </row>
    <row r="829" spans="1:15" x14ac:dyDescent="0.2">
      <c r="A829">
        <v>13911</v>
      </c>
      <c r="B829" t="s">
        <v>35</v>
      </c>
      <c r="C829" s="16" t="str">
        <f t="shared" si="24"/>
        <v>Single</v>
      </c>
      <c r="D829" t="s">
        <v>33</v>
      </c>
      <c r="E829" s="16" t="str">
        <f t="shared" si="25"/>
        <v>Female</v>
      </c>
      <c r="F829" s="1">
        <v>80000</v>
      </c>
      <c r="G829">
        <v>3</v>
      </c>
      <c r="H829" t="s">
        <v>13</v>
      </c>
      <c r="I829" t="s">
        <v>14</v>
      </c>
      <c r="J829" t="s">
        <v>15</v>
      </c>
      <c r="K829">
        <v>2</v>
      </c>
      <c r="L829" t="s">
        <v>22</v>
      </c>
      <c r="M829" t="s">
        <v>32</v>
      </c>
      <c r="N829">
        <v>41</v>
      </c>
      <c r="O829" t="s">
        <v>15</v>
      </c>
    </row>
    <row r="830" spans="1:15" x14ac:dyDescent="0.2">
      <c r="A830">
        <v>20421</v>
      </c>
      <c r="B830" t="s">
        <v>35</v>
      </c>
      <c r="C830" s="16" t="str">
        <f t="shared" si="24"/>
        <v>Single</v>
      </c>
      <c r="D830" t="s">
        <v>33</v>
      </c>
      <c r="E830" s="16" t="str">
        <f t="shared" si="25"/>
        <v>Female</v>
      </c>
      <c r="F830" s="1">
        <v>40000</v>
      </c>
      <c r="G830">
        <v>0</v>
      </c>
      <c r="H830" t="s">
        <v>29</v>
      </c>
      <c r="I830" t="s">
        <v>20</v>
      </c>
      <c r="J830" t="s">
        <v>15</v>
      </c>
      <c r="K830">
        <v>2</v>
      </c>
      <c r="L830" t="s">
        <v>23</v>
      </c>
      <c r="M830" t="s">
        <v>32</v>
      </c>
      <c r="N830">
        <v>26</v>
      </c>
      <c r="O830" t="s">
        <v>18</v>
      </c>
    </row>
    <row r="831" spans="1:15" x14ac:dyDescent="0.2">
      <c r="A831">
        <v>16009</v>
      </c>
      <c r="B831" t="s">
        <v>35</v>
      </c>
      <c r="C831" s="16" t="str">
        <f t="shared" si="24"/>
        <v>Single</v>
      </c>
      <c r="D831" t="s">
        <v>34</v>
      </c>
      <c r="E831" s="16" t="str">
        <f t="shared" si="25"/>
        <v>Male</v>
      </c>
      <c r="F831" s="1">
        <v>170000</v>
      </c>
      <c r="G831">
        <v>1</v>
      </c>
      <c r="H831" t="s">
        <v>31</v>
      </c>
      <c r="I831" t="s">
        <v>28</v>
      </c>
      <c r="J831" t="s">
        <v>18</v>
      </c>
      <c r="K831">
        <v>4</v>
      </c>
      <c r="L831" t="s">
        <v>16</v>
      </c>
      <c r="M831" t="s">
        <v>32</v>
      </c>
      <c r="N831">
        <v>66</v>
      </c>
      <c r="O831" t="s">
        <v>18</v>
      </c>
    </row>
    <row r="832" spans="1:15" x14ac:dyDescent="0.2">
      <c r="A832">
        <v>18411</v>
      </c>
      <c r="B832" t="s">
        <v>34</v>
      </c>
      <c r="C832" s="16" t="str">
        <f t="shared" si="24"/>
        <v>Married</v>
      </c>
      <c r="D832" t="s">
        <v>34</v>
      </c>
      <c r="E832" s="16" t="str">
        <f t="shared" si="25"/>
        <v>Male</v>
      </c>
      <c r="F832" s="1">
        <v>60000</v>
      </c>
      <c r="G832">
        <v>2</v>
      </c>
      <c r="H832" t="s">
        <v>27</v>
      </c>
      <c r="I832" t="s">
        <v>21</v>
      </c>
      <c r="J832" t="s">
        <v>18</v>
      </c>
      <c r="K832">
        <v>2</v>
      </c>
      <c r="L832" t="s">
        <v>23</v>
      </c>
      <c r="M832" t="s">
        <v>32</v>
      </c>
      <c r="N832">
        <v>51</v>
      </c>
      <c r="O832" t="s">
        <v>18</v>
      </c>
    </row>
    <row r="833" spans="1:15" x14ac:dyDescent="0.2">
      <c r="A833">
        <v>19163</v>
      </c>
      <c r="B833" t="s">
        <v>34</v>
      </c>
      <c r="C833" s="16" t="str">
        <f t="shared" si="24"/>
        <v>Married</v>
      </c>
      <c r="D833" t="s">
        <v>33</v>
      </c>
      <c r="E833" s="16" t="str">
        <f t="shared" si="25"/>
        <v>Female</v>
      </c>
      <c r="F833" s="1">
        <v>70000</v>
      </c>
      <c r="G833">
        <v>4</v>
      </c>
      <c r="H833" t="s">
        <v>13</v>
      </c>
      <c r="I833" t="s">
        <v>21</v>
      </c>
      <c r="J833" t="s">
        <v>15</v>
      </c>
      <c r="K833">
        <v>2</v>
      </c>
      <c r="L833" t="s">
        <v>16</v>
      </c>
      <c r="M833" t="s">
        <v>32</v>
      </c>
      <c r="N833">
        <v>43</v>
      </c>
      <c r="O833" t="s">
        <v>15</v>
      </c>
    </row>
    <row r="834" spans="1:15" x14ac:dyDescent="0.2">
      <c r="A834">
        <v>18572</v>
      </c>
      <c r="B834" t="s">
        <v>34</v>
      </c>
      <c r="C834" s="16" t="str">
        <f t="shared" ref="C834:C897" si="26">IF(B834="M","Married","Single")</f>
        <v>Married</v>
      </c>
      <c r="D834" t="s">
        <v>33</v>
      </c>
      <c r="E834" s="16" t="str">
        <f t="shared" ref="E834:E897" si="27">IF(D834="F","Female","Male")</f>
        <v>Female</v>
      </c>
      <c r="F834" s="1">
        <v>60000</v>
      </c>
      <c r="G834">
        <v>0</v>
      </c>
      <c r="H834" t="s">
        <v>31</v>
      </c>
      <c r="I834" t="s">
        <v>21</v>
      </c>
      <c r="J834" t="s">
        <v>15</v>
      </c>
      <c r="K834">
        <v>0</v>
      </c>
      <c r="L834" t="s">
        <v>16</v>
      </c>
      <c r="M834" t="s">
        <v>32</v>
      </c>
      <c r="N834">
        <v>39</v>
      </c>
      <c r="O834" t="s">
        <v>18</v>
      </c>
    </row>
    <row r="835" spans="1:15" x14ac:dyDescent="0.2">
      <c r="A835">
        <v>27540</v>
      </c>
      <c r="B835" t="s">
        <v>35</v>
      </c>
      <c r="C835" s="16" t="str">
        <f t="shared" si="26"/>
        <v>Single</v>
      </c>
      <c r="D835" t="s">
        <v>33</v>
      </c>
      <c r="E835" s="16" t="str">
        <f t="shared" si="27"/>
        <v>Female</v>
      </c>
      <c r="F835" s="1">
        <v>70000</v>
      </c>
      <c r="G835">
        <v>0</v>
      </c>
      <c r="H835" t="s">
        <v>13</v>
      </c>
      <c r="I835" t="s">
        <v>21</v>
      </c>
      <c r="J835" t="s">
        <v>18</v>
      </c>
      <c r="K835">
        <v>1</v>
      </c>
      <c r="L835" t="s">
        <v>16</v>
      </c>
      <c r="M835" t="s">
        <v>32</v>
      </c>
      <c r="N835">
        <v>37</v>
      </c>
      <c r="O835" t="s">
        <v>15</v>
      </c>
    </row>
    <row r="836" spans="1:15" x14ac:dyDescent="0.2">
      <c r="A836">
        <v>19889</v>
      </c>
      <c r="B836" t="s">
        <v>35</v>
      </c>
      <c r="C836" s="16" t="str">
        <f t="shared" si="26"/>
        <v>Single</v>
      </c>
      <c r="D836" t="s">
        <v>33</v>
      </c>
      <c r="E836" s="16" t="str">
        <f t="shared" si="27"/>
        <v>Female</v>
      </c>
      <c r="F836" s="1">
        <v>70000</v>
      </c>
      <c r="G836">
        <v>2</v>
      </c>
      <c r="H836" t="s">
        <v>29</v>
      </c>
      <c r="I836" t="s">
        <v>14</v>
      </c>
      <c r="J836" t="s">
        <v>18</v>
      </c>
      <c r="K836">
        <v>2</v>
      </c>
      <c r="L836" t="s">
        <v>22</v>
      </c>
      <c r="M836" t="s">
        <v>32</v>
      </c>
      <c r="N836">
        <v>54</v>
      </c>
      <c r="O836" t="s">
        <v>15</v>
      </c>
    </row>
    <row r="837" spans="1:15" x14ac:dyDescent="0.2">
      <c r="A837">
        <v>12922</v>
      </c>
      <c r="B837" t="s">
        <v>35</v>
      </c>
      <c r="C837" s="16" t="str">
        <f t="shared" si="26"/>
        <v>Single</v>
      </c>
      <c r="D837" t="s">
        <v>33</v>
      </c>
      <c r="E837" s="16" t="str">
        <f t="shared" si="27"/>
        <v>Female</v>
      </c>
      <c r="F837" s="1">
        <v>60000</v>
      </c>
      <c r="G837">
        <v>3</v>
      </c>
      <c r="H837" t="s">
        <v>13</v>
      </c>
      <c r="I837" t="s">
        <v>14</v>
      </c>
      <c r="J837" t="s">
        <v>15</v>
      </c>
      <c r="K837">
        <v>0</v>
      </c>
      <c r="L837" t="s">
        <v>22</v>
      </c>
      <c r="M837" t="s">
        <v>32</v>
      </c>
      <c r="N837">
        <v>40</v>
      </c>
      <c r="O837" t="s">
        <v>15</v>
      </c>
    </row>
    <row r="838" spans="1:15" x14ac:dyDescent="0.2">
      <c r="A838">
        <v>18891</v>
      </c>
      <c r="B838" t="s">
        <v>34</v>
      </c>
      <c r="C838" s="16" t="str">
        <f t="shared" si="26"/>
        <v>Married</v>
      </c>
      <c r="D838" t="s">
        <v>33</v>
      </c>
      <c r="E838" s="16" t="str">
        <f t="shared" si="27"/>
        <v>Female</v>
      </c>
      <c r="F838" s="1">
        <v>40000</v>
      </c>
      <c r="G838">
        <v>0</v>
      </c>
      <c r="H838" t="s">
        <v>19</v>
      </c>
      <c r="I838" t="s">
        <v>14</v>
      </c>
      <c r="J838" t="s">
        <v>15</v>
      </c>
      <c r="K838">
        <v>2</v>
      </c>
      <c r="L838" t="s">
        <v>23</v>
      </c>
      <c r="M838" t="s">
        <v>32</v>
      </c>
      <c r="N838">
        <v>28</v>
      </c>
      <c r="O838" t="s">
        <v>18</v>
      </c>
    </row>
    <row r="839" spans="1:15" x14ac:dyDescent="0.2">
      <c r="A839">
        <v>16773</v>
      </c>
      <c r="B839" t="s">
        <v>34</v>
      </c>
      <c r="C839" s="16" t="str">
        <f t="shared" si="26"/>
        <v>Married</v>
      </c>
      <c r="D839" t="s">
        <v>34</v>
      </c>
      <c r="E839" s="16" t="str">
        <f t="shared" si="27"/>
        <v>Male</v>
      </c>
      <c r="F839" s="1">
        <v>60000</v>
      </c>
      <c r="G839">
        <v>1</v>
      </c>
      <c r="H839" t="s">
        <v>31</v>
      </c>
      <c r="I839" t="s">
        <v>14</v>
      </c>
      <c r="J839" t="s">
        <v>15</v>
      </c>
      <c r="K839">
        <v>0</v>
      </c>
      <c r="L839" t="s">
        <v>16</v>
      </c>
      <c r="M839" t="s">
        <v>32</v>
      </c>
      <c r="N839">
        <v>33</v>
      </c>
      <c r="O839" t="s">
        <v>18</v>
      </c>
    </row>
    <row r="840" spans="1:15" x14ac:dyDescent="0.2">
      <c r="A840">
        <v>19143</v>
      </c>
      <c r="B840" t="s">
        <v>35</v>
      </c>
      <c r="C840" s="16" t="str">
        <f t="shared" si="26"/>
        <v>Single</v>
      </c>
      <c r="D840" t="s">
        <v>33</v>
      </c>
      <c r="E840" s="16" t="str">
        <f t="shared" si="27"/>
        <v>Female</v>
      </c>
      <c r="F840" s="1">
        <v>80000</v>
      </c>
      <c r="G840">
        <v>3</v>
      </c>
      <c r="H840" t="s">
        <v>13</v>
      </c>
      <c r="I840" t="s">
        <v>14</v>
      </c>
      <c r="J840" t="s">
        <v>15</v>
      </c>
      <c r="K840">
        <v>2</v>
      </c>
      <c r="L840" t="s">
        <v>22</v>
      </c>
      <c r="M840" t="s">
        <v>32</v>
      </c>
      <c r="N840">
        <v>41</v>
      </c>
      <c r="O840" t="s">
        <v>15</v>
      </c>
    </row>
    <row r="841" spans="1:15" x14ac:dyDescent="0.2">
      <c r="A841">
        <v>23882</v>
      </c>
      <c r="B841" t="s">
        <v>35</v>
      </c>
      <c r="C841" s="16" t="str">
        <f t="shared" si="26"/>
        <v>Single</v>
      </c>
      <c r="D841" t="s">
        <v>33</v>
      </c>
      <c r="E841" s="16" t="str">
        <f t="shared" si="27"/>
        <v>Female</v>
      </c>
      <c r="F841" s="1">
        <v>80000</v>
      </c>
      <c r="G841">
        <v>3</v>
      </c>
      <c r="H841" t="s">
        <v>31</v>
      </c>
      <c r="I841" t="s">
        <v>21</v>
      </c>
      <c r="J841" t="s">
        <v>15</v>
      </c>
      <c r="K841">
        <v>0</v>
      </c>
      <c r="L841" t="s">
        <v>16</v>
      </c>
      <c r="M841" t="s">
        <v>32</v>
      </c>
      <c r="N841">
        <v>37</v>
      </c>
      <c r="O841" t="s">
        <v>15</v>
      </c>
    </row>
    <row r="842" spans="1:15" x14ac:dyDescent="0.2">
      <c r="A842">
        <v>11233</v>
      </c>
      <c r="B842" t="s">
        <v>34</v>
      </c>
      <c r="C842" s="16" t="str">
        <f t="shared" si="26"/>
        <v>Married</v>
      </c>
      <c r="D842" t="s">
        <v>34</v>
      </c>
      <c r="E842" s="16" t="str">
        <f t="shared" si="27"/>
        <v>Male</v>
      </c>
      <c r="F842" s="1">
        <v>70000</v>
      </c>
      <c r="G842">
        <v>4</v>
      </c>
      <c r="H842" t="s">
        <v>19</v>
      </c>
      <c r="I842" t="s">
        <v>21</v>
      </c>
      <c r="J842" t="s">
        <v>15</v>
      </c>
      <c r="K842">
        <v>2</v>
      </c>
      <c r="L842" t="s">
        <v>30</v>
      </c>
      <c r="M842" t="s">
        <v>32</v>
      </c>
      <c r="N842">
        <v>53</v>
      </c>
      <c r="O842" t="s">
        <v>18</v>
      </c>
    </row>
    <row r="843" spans="1:15" x14ac:dyDescent="0.2">
      <c r="A843">
        <v>12056</v>
      </c>
      <c r="B843" t="s">
        <v>34</v>
      </c>
      <c r="C843" s="16" t="str">
        <f t="shared" si="26"/>
        <v>Married</v>
      </c>
      <c r="D843" t="s">
        <v>34</v>
      </c>
      <c r="E843" s="16" t="str">
        <f t="shared" si="27"/>
        <v>Male</v>
      </c>
      <c r="F843" s="1">
        <v>120000</v>
      </c>
      <c r="G843">
        <v>2</v>
      </c>
      <c r="H843" t="s">
        <v>31</v>
      </c>
      <c r="I843" t="s">
        <v>28</v>
      </c>
      <c r="J843" t="s">
        <v>15</v>
      </c>
      <c r="K843">
        <v>3</v>
      </c>
      <c r="L843" t="s">
        <v>23</v>
      </c>
      <c r="M843" t="s">
        <v>32</v>
      </c>
      <c r="N843">
        <v>64</v>
      </c>
      <c r="O843" t="s">
        <v>18</v>
      </c>
    </row>
    <row r="844" spans="1:15" x14ac:dyDescent="0.2">
      <c r="A844">
        <v>15555</v>
      </c>
      <c r="B844" t="s">
        <v>34</v>
      </c>
      <c r="C844" s="16" t="str">
        <f t="shared" si="26"/>
        <v>Married</v>
      </c>
      <c r="D844" t="s">
        <v>33</v>
      </c>
      <c r="E844" s="16" t="str">
        <f t="shared" si="27"/>
        <v>Female</v>
      </c>
      <c r="F844" s="1">
        <v>60000</v>
      </c>
      <c r="G844">
        <v>1</v>
      </c>
      <c r="H844" t="s">
        <v>19</v>
      </c>
      <c r="I844" t="s">
        <v>14</v>
      </c>
      <c r="J844" t="s">
        <v>15</v>
      </c>
      <c r="K844">
        <v>1</v>
      </c>
      <c r="L844" t="s">
        <v>22</v>
      </c>
      <c r="M844" t="s">
        <v>32</v>
      </c>
      <c r="N844">
        <v>45</v>
      </c>
      <c r="O844" t="s">
        <v>15</v>
      </c>
    </row>
    <row r="845" spans="1:15" x14ac:dyDescent="0.2">
      <c r="A845">
        <v>18423</v>
      </c>
      <c r="B845" t="s">
        <v>35</v>
      </c>
      <c r="C845" s="16" t="str">
        <f t="shared" si="26"/>
        <v>Single</v>
      </c>
      <c r="D845" t="s">
        <v>34</v>
      </c>
      <c r="E845" s="16" t="str">
        <f t="shared" si="27"/>
        <v>Male</v>
      </c>
      <c r="F845" s="1">
        <v>80000</v>
      </c>
      <c r="G845">
        <v>2</v>
      </c>
      <c r="H845" t="s">
        <v>29</v>
      </c>
      <c r="I845" t="s">
        <v>14</v>
      </c>
      <c r="J845" t="s">
        <v>18</v>
      </c>
      <c r="K845">
        <v>2</v>
      </c>
      <c r="L845" t="s">
        <v>26</v>
      </c>
      <c r="M845" t="s">
        <v>32</v>
      </c>
      <c r="N845">
        <v>52</v>
      </c>
      <c r="O845" t="s">
        <v>18</v>
      </c>
    </row>
    <row r="846" spans="1:15" x14ac:dyDescent="0.2">
      <c r="A846">
        <v>22743</v>
      </c>
      <c r="B846" t="s">
        <v>34</v>
      </c>
      <c r="C846" s="16" t="str">
        <f t="shared" si="26"/>
        <v>Married</v>
      </c>
      <c r="D846" t="s">
        <v>33</v>
      </c>
      <c r="E846" s="16" t="str">
        <f t="shared" si="27"/>
        <v>Female</v>
      </c>
      <c r="F846" s="1">
        <v>40000</v>
      </c>
      <c r="G846">
        <v>5</v>
      </c>
      <c r="H846" t="s">
        <v>27</v>
      </c>
      <c r="I846" t="s">
        <v>21</v>
      </c>
      <c r="J846" t="s">
        <v>15</v>
      </c>
      <c r="K846">
        <v>2</v>
      </c>
      <c r="L846" t="s">
        <v>30</v>
      </c>
      <c r="M846" t="s">
        <v>32</v>
      </c>
      <c r="N846">
        <v>60</v>
      </c>
      <c r="O846" t="s">
        <v>18</v>
      </c>
    </row>
    <row r="847" spans="1:15" x14ac:dyDescent="0.2">
      <c r="A847">
        <v>25343</v>
      </c>
      <c r="B847" t="s">
        <v>35</v>
      </c>
      <c r="C847" s="16" t="str">
        <f t="shared" si="26"/>
        <v>Single</v>
      </c>
      <c r="D847" t="s">
        <v>33</v>
      </c>
      <c r="E847" s="16" t="str">
        <f t="shared" si="27"/>
        <v>Female</v>
      </c>
      <c r="F847" s="1">
        <v>20000</v>
      </c>
      <c r="G847">
        <v>3</v>
      </c>
      <c r="H847" t="s">
        <v>29</v>
      </c>
      <c r="I847" t="s">
        <v>20</v>
      </c>
      <c r="J847" t="s">
        <v>15</v>
      </c>
      <c r="K847">
        <v>2</v>
      </c>
      <c r="L847" t="s">
        <v>26</v>
      </c>
      <c r="M847" t="s">
        <v>32</v>
      </c>
      <c r="N847">
        <v>50</v>
      </c>
      <c r="O847" t="s">
        <v>18</v>
      </c>
    </row>
    <row r="848" spans="1:15" x14ac:dyDescent="0.2">
      <c r="A848">
        <v>13390</v>
      </c>
      <c r="B848" t="s">
        <v>34</v>
      </c>
      <c r="C848" s="16" t="str">
        <f t="shared" si="26"/>
        <v>Married</v>
      </c>
      <c r="D848" t="s">
        <v>33</v>
      </c>
      <c r="E848" s="16" t="str">
        <f t="shared" si="27"/>
        <v>Female</v>
      </c>
      <c r="F848" s="1">
        <v>70000</v>
      </c>
      <c r="G848">
        <v>4</v>
      </c>
      <c r="H848" t="s">
        <v>19</v>
      </c>
      <c r="I848" t="s">
        <v>21</v>
      </c>
      <c r="J848" t="s">
        <v>18</v>
      </c>
      <c r="K848">
        <v>1</v>
      </c>
      <c r="L848" t="s">
        <v>26</v>
      </c>
      <c r="M848" t="s">
        <v>32</v>
      </c>
      <c r="N848">
        <v>56</v>
      </c>
      <c r="O848" t="s">
        <v>18</v>
      </c>
    </row>
    <row r="849" spans="1:15" x14ac:dyDescent="0.2">
      <c r="A849">
        <v>17482</v>
      </c>
      <c r="B849" t="s">
        <v>35</v>
      </c>
      <c r="C849" s="16" t="str">
        <f t="shared" si="26"/>
        <v>Single</v>
      </c>
      <c r="D849" t="s">
        <v>33</v>
      </c>
      <c r="E849" s="16" t="str">
        <f t="shared" si="27"/>
        <v>Female</v>
      </c>
      <c r="F849" s="1">
        <v>40000</v>
      </c>
      <c r="G849">
        <v>0</v>
      </c>
      <c r="H849" t="s">
        <v>29</v>
      </c>
      <c r="I849" t="s">
        <v>20</v>
      </c>
      <c r="J849" t="s">
        <v>15</v>
      </c>
      <c r="K849">
        <v>2</v>
      </c>
      <c r="L849" t="s">
        <v>23</v>
      </c>
      <c r="M849" t="s">
        <v>32</v>
      </c>
      <c r="N849">
        <v>29</v>
      </c>
      <c r="O849" t="s">
        <v>18</v>
      </c>
    </row>
    <row r="850" spans="1:15" x14ac:dyDescent="0.2">
      <c r="A850">
        <v>13176</v>
      </c>
      <c r="B850" t="s">
        <v>35</v>
      </c>
      <c r="C850" s="16" t="str">
        <f t="shared" si="26"/>
        <v>Single</v>
      </c>
      <c r="D850" t="s">
        <v>34</v>
      </c>
      <c r="E850" s="16" t="str">
        <f t="shared" si="27"/>
        <v>Male</v>
      </c>
      <c r="F850" s="1">
        <v>130000</v>
      </c>
      <c r="G850">
        <v>0</v>
      </c>
      <c r="H850" t="s">
        <v>31</v>
      </c>
      <c r="I850" t="s">
        <v>28</v>
      </c>
      <c r="J850" t="s">
        <v>18</v>
      </c>
      <c r="K850">
        <v>2</v>
      </c>
      <c r="L850" t="s">
        <v>16</v>
      </c>
      <c r="M850" t="s">
        <v>32</v>
      </c>
      <c r="N850">
        <v>38</v>
      </c>
      <c r="O850" t="s">
        <v>15</v>
      </c>
    </row>
    <row r="851" spans="1:15" x14ac:dyDescent="0.2">
      <c r="A851">
        <v>20504</v>
      </c>
      <c r="B851" t="s">
        <v>34</v>
      </c>
      <c r="C851" s="16" t="str">
        <f t="shared" si="26"/>
        <v>Married</v>
      </c>
      <c r="D851" t="s">
        <v>33</v>
      </c>
      <c r="E851" s="16" t="str">
        <f t="shared" si="27"/>
        <v>Female</v>
      </c>
      <c r="F851" s="1">
        <v>40000</v>
      </c>
      <c r="G851">
        <v>5</v>
      </c>
      <c r="H851" t="s">
        <v>27</v>
      </c>
      <c r="I851" t="s">
        <v>21</v>
      </c>
      <c r="J851" t="s">
        <v>18</v>
      </c>
      <c r="K851">
        <v>2</v>
      </c>
      <c r="L851" t="s">
        <v>22</v>
      </c>
      <c r="M851" t="s">
        <v>32</v>
      </c>
      <c r="N851">
        <v>60</v>
      </c>
      <c r="O851" t="s">
        <v>18</v>
      </c>
    </row>
    <row r="852" spans="1:15" x14ac:dyDescent="0.2">
      <c r="A852">
        <v>12205</v>
      </c>
      <c r="B852" t="s">
        <v>35</v>
      </c>
      <c r="C852" s="16" t="str">
        <f t="shared" si="26"/>
        <v>Single</v>
      </c>
      <c r="D852" t="s">
        <v>33</v>
      </c>
      <c r="E852" s="16" t="str">
        <f t="shared" si="27"/>
        <v>Female</v>
      </c>
      <c r="F852" s="1">
        <v>130000</v>
      </c>
      <c r="G852">
        <v>2</v>
      </c>
      <c r="H852" t="s">
        <v>13</v>
      </c>
      <c r="I852" t="s">
        <v>28</v>
      </c>
      <c r="J852" t="s">
        <v>18</v>
      </c>
      <c r="K852">
        <v>4</v>
      </c>
      <c r="L852" t="s">
        <v>16</v>
      </c>
      <c r="M852" t="s">
        <v>32</v>
      </c>
      <c r="N852">
        <v>67</v>
      </c>
      <c r="O852" t="s">
        <v>18</v>
      </c>
    </row>
    <row r="853" spans="1:15" x14ac:dyDescent="0.2">
      <c r="A853">
        <v>16751</v>
      </c>
      <c r="B853" t="s">
        <v>34</v>
      </c>
      <c r="C853" s="16" t="str">
        <f t="shared" si="26"/>
        <v>Married</v>
      </c>
      <c r="D853" t="s">
        <v>34</v>
      </c>
      <c r="E853" s="16" t="str">
        <f t="shared" si="27"/>
        <v>Male</v>
      </c>
      <c r="F853" s="1">
        <v>60000</v>
      </c>
      <c r="G853">
        <v>0</v>
      </c>
      <c r="H853" t="s">
        <v>19</v>
      </c>
      <c r="I853" t="s">
        <v>14</v>
      </c>
      <c r="J853" t="s">
        <v>15</v>
      </c>
      <c r="K853">
        <v>1</v>
      </c>
      <c r="L853" t="s">
        <v>23</v>
      </c>
      <c r="M853" t="s">
        <v>32</v>
      </c>
      <c r="N853">
        <v>32</v>
      </c>
      <c r="O853" t="s">
        <v>15</v>
      </c>
    </row>
    <row r="854" spans="1:15" x14ac:dyDescent="0.2">
      <c r="A854">
        <v>21613</v>
      </c>
      <c r="B854" t="s">
        <v>35</v>
      </c>
      <c r="C854" s="16" t="str">
        <f t="shared" si="26"/>
        <v>Single</v>
      </c>
      <c r="D854" t="s">
        <v>34</v>
      </c>
      <c r="E854" s="16" t="str">
        <f t="shared" si="27"/>
        <v>Male</v>
      </c>
      <c r="F854" s="1">
        <v>50000</v>
      </c>
      <c r="G854">
        <v>2</v>
      </c>
      <c r="H854" t="s">
        <v>13</v>
      </c>
      <c r="I854" t="s">
        <v>14</v>
      </c>
      <c r="J854" t="s">
        <v>18</v>
      </c>
      <c r="K854">
        <v>1</v>
      </c>
      <c r="L854" t="s">
        <v>16</v>
      </c>
      <c r="M854" t="s">
        <v>32</v>
      </c>
      <c r="N854">
        <v>39</v>
      </c>
      <c r="O854" t="s">
        <v>15</v>
      </c>
    </row>
    <row r="855" spans="1:15" x14ac:dyDescent="0.2">
      <c r="A855">
        <v>24801</v>
      </c>
      <c r="B855" t="s">
        <v>35</v>
      </c>
      <c r="C855" s="16" t="str">
        <f t="shared" si="26"/>
        <v>Single</v>
      </c>
      <c r="D855" t="s">
        <v>34</v>
      </c>
      <c r="E855" s="16" t="str">
        <f t="shared" si="27"/>
        <v>Male</v>
      </c>
      <c r="F855" s="1">
        <v>60000</v>
      </c>
      <c r="G855">
        <v>1</v>
      </c>
      <c r="H855" t="s">
        <v>31</v>
      </c>
      <c r="I855" t="s">
        <v>21</v>
      </c>
      <c r="J855" t="s">
        <v>15</v>
      </c>
      <c r="K855">
        <v>0</v>
      </c>
      <c r="L855" t="s">
        <v>22</v>
      </c>
      <c r="M855" t="s">
        <v>32</v>
      </c>
      <c r="N855">
        <v>35</v>
      </c>
      <c r="O855" t="s">
        <v>15</v>
      </c>
    </row>
    <row r="856" spans="1:15" x14ac:dyDescent="0.2">
      <c r="A856">
        <v>17519</v>
      </c>
      <c r="B856" t="s">
        <v>34</v>
      </c>
      <c r="C856" s="16" t="str">
        <f t="shared" si="26"/>
        <v>Married</v>
      </c>
      <c r="D856" t="s">
        <v>33</v>
      </c>
      <c r="E856" s="16" t="str">
        <f t="shared" si="27"/>
        <v>Female</v>
      </c>
      <c r="F856" s="1">
        <v>60000</v>
      </c>
      <c r="G856">
        <v>0</v>
      </c>
      <c r="H856" t="s">
        <v>19</v>
      </c>
      <c r="I856" t="s">
        <v>21</v>
      </c>
      <c r="J856" t="s">
        <v>15</v>
      </c>
      <c r="K856">
        <v>2</v>
      </c>
      <c r="L856" t="s">
        <v>23</v>
      </c>
      <c r="M856" t="s">
        <v>32</v>
      </c>
      <c r="N856">
        <v>32</v>
      </c>
      <c r="O856" t="s">
        <v>18</v>
      </c>
    </row>
    <row r="857" spans="1:15" x14ac:dyDescent="0.2">
      <c r="A857">
        <v>18347</v>
      </c>
      <c r="B857" t="s">
        <v>35</v>
      </c>
      <c r="C857" s="16" t="str">
        <f t="shared" si="26"/>
        <v>Single</v>
      </c>
      <c r="D857" t="s">
        <v>33</v>
      </c>
      <c r="E857" s="16" t="str">
        <f t="shared" si="27"/>
        <v>Female</v>
      </c>
      <c r="F857" s="1">
        <v>30000</v>
      </c>
      <c r="G857">
        <v>0</v>
      </c>
      <c r="H857" t="s">
        <v>19</v>
      </c>
      <c r="I857" t="s">
        <v>14</v>
      </c>
      <c r="J857" t="s">
        <v>18</v>
      </c>
      <c r="K857">
        <v>1</v>
      </c>
      <c r="L857" t="s">
        <v>26</v>
      </c>
      <c r="M857" t="s">
        <v>32</v>
      </c>
      <c r="N857">
        <v>31</v>
      </c>
      <c r="O857" t="s">
        <v>18</v>
      </c>
    </row>
    <row r="858" spans="1:15" x14ac:dyDescent="0.2">
      <c r="A858">
        <v>29052</v>
      </c>
      <c r="B858" t="s">
        <v>35</v>
      </c>
      <c r="C858" s="16" t="str">
        <f t="shared" si="26"/>
        <v>Single</v>
      </c>
      <c r="D858" t="s">
        <v>34</v>
      </c>
      <c r="E858" s="16" t="str">
        <f t="shared" si="27"/>
        <v>Male</v>
      </c>
      <c r="F858" s="1">
        <v>40000</v>
      </c>
      <c r="G858">
        <v>0</v>
      </c>
      <c r="H858" t="s">
        <v>19</v>
      </c>
      <c r="I858" t="s">
        <v>14</v>
      </c>
      <c r="J858" t="s">
        <v>15</v>
      </c>
      <c r="K858">
        <v>1</v>
      </c>
      <c r="L858" t="s">
        <v>23</v>
      </c>
      <c r="M858" t="s">
        <v>32</v>
      </c>
      <c r="N858">
        <v>27</v>
      </c>
      <c r="O858" t="s">
        <v>18</v>
      </c>
    </row>
    <row r="859" spans="1:15" x14ac:dyDescent="0.2">
      <c r="A859">
        <v>11745</v>
      </c>
      <c r="B859" t="s">
        <v>34</v>
      </c>
      <c r="C859" s="16" t="str">
        <f t="shared" si="26"/>
        <v>Married</v>
      </c>
      <c r="D859" t="s">
        <v>33</v>
      </c>
      <c r="E859" s="16" t="str">
        <f t="shared" si="27"/>
        <v>Female</v>
      </c>
      <c r="F859" s="1">
        <v>60000</v>
      </c>
      <c r="G859">
        <v>1</v>
      </c>
      <c r="H859" t="s">
        <v>13</v>
      </c>
      <c r="I859" t="s">
        <v>21</v>
      </c>
      <c r="J859" t="s">
        <v>15</v>
      </c>
      <c r="K859">
        <v>1</v>
      </c>
      <c r="L859" t="s">
        <v>16</v>
      </c>
      <c r="M859" t="s">
        <v>32</v>
      </c>
      <c r="N859">
        <v>47</v>
      </c>
      <c r="O859" t="s">
        <v>15</v>
      </c>
    </row>
    <row r="860" spans="1:15" x14ac:dyDescent="0.2">
      <c r="A860">
        <v>19147</v>
      </c>
      <c r="B860" t="s">
        <v>34</v>
      </c>
      <c r="C860" s="16" t="str">
        <f t="shared" si="26"/>
        <v>Married</v>
      </c>
      <c r="D860" t="s">
        <v>34</v>
      </c>
      <c r="E860" s="16" t="str">
        <f t="shared" si="27"/>
        <v>Male</v>
      </c>
      <c r="F860" s="1">
        <v>40000</v>
      </c>
      <c r="G860">
        <v>0</v>
      </c>
      <c r="H860" t="s">
        <v>13</v>
      </c>
      <c r="I860" t="s">
        <v>21</v>
      </c>
      <c r="J860" t="s">
        <v>18</v>
      </c>
      <c r="K860">
        <v>1</v>
      </c>
      <c r="L860" t="s">
        <v>16</v>
      </c>
      <c r="M860" t="s">
        <v>32</v>
      </c>
      <c r="N860">
        <v>42</v>
      </c>
      <c r="O860" t="s">
        <v>18</v>
      </c>
    </row>
    <row r="861" spans="1:15" x14ac:dyDescent="0.2">
      <c r="A861">
        <v>19217</v>
      </c>
      <c r="B861" t="s">
        <v>34</v>
      </c>
      <c r="C861" s="16" t="str">
        <f t="shared" si="26"/>
        <v>Married</v>
      </c>
      <c r="D861" t="s">
        <v>34</v>
      </c>
      <c r="E861" s="16" t="str">
        <f t="shared" si="27"/>
        <v>Male</v>
      </c>
      <c r="F861" s="1">
        <v>30000</v>
      </c>
      <c r="G861">
        <v>2</v>
      </c>
      <c r="H861" t="s">
        <v>27</v>
      </c>
      <c r="I861" t="s">
        <v>14</v>
      </c>
      <c r="J861" t="s">
        <v>15</v>
      </c>
      <c r="K861">
        <v>2</v>
      </c>
      <c r="L861" t="s">
        <v>26</v>
      </c>
      <c r="M861" t="s">
        <v>32</v>
      </c>
      <c r="N861">
        <v>49</v>
      </c>
      <c r="O861" t="s">
        <v>18</v>
      </c>
    </row>
    <row r="862" spans="1:15" x14ac:dyDescent="0.2">
      <c r="A862">
        <v>15839</v>
      </c>
      <c r="B862" t="s">
        <v>35</v>
      </c>
      <c r="C862" s="16" t="str">
        <f t="shared" si="26"/>
        <v>Single</v>
      </c>
      <c r="D862" t="s">
        <v>34</v>
      </c>
      <c r="E862" s="16" t="str">
        <f t="shared" si="27"/>
        <v>Male</v>
      </c>
      <c r="F862" s="1">
        <v>30000</v>
      </c>
      <c r="G862">
        <v>0</v>
      </c>
      <c r="H862" t="s">
        <v>19</v>
      </c>
      <c r="I862" t="s">
        <v>14</v>
      </c>
      <c r="J862" t="s">
        <v>15</v>
      </c>
      <c r="K862">
        <v>1</v>
      </c>
      <c r="L862" t="s">
        <v>23</v>
      </c>
      <c r="M862" t="s">
        <v>32</v>
      </c>
      <c r="N862">
        <v>32</v>
      </c>
      <c r="O862" t="s">
        <v>18</v>
      </c>
    </row>
    <row r="863" spans="1:15" x14ac:dyDescent="0.2">
      <c r="A863">
        <v>13714</v>
      </c>
      <c r="B863" t="s">
        <v>34</v>
      </c>
      <c r="C863" s="16" t="str">
        <f t="shared" si="26"/>
        <v>Married</v>
      </c>
      <c r="D863" t="s">
        <v>33</v>
      </c>
      <c r="E863" s="16" t="str">
        <f t="shared" si="27"/>
        <v>Female</v>
      </c>
      <c r="F863" s="1">
        <v>20000</v>
      </c>
      <c r="G863">
        <v>2</v>
      </c>
      <c r="H863" t="s">
        <v>27</v>
      </c>
      <c r="I863" t="s">
        <v>25</v>
      </c>
      <c r="J863" t="s">
        <v>18</v>
      </c>
      <c r="K863">
        <v>2</v>
      </c>
      <c r="L863" t="s">
        <v>26</v>
      </c>
      <c r="M863" t="s">
        <v>32</v>
      </c>
      <c r="N863">
        <v>53</v>
      </c>
      <c r="O863" t="s">
        <v>15</v>
      </c>
    </row>
    <row r="864" spans="1:15" x14ac:dyDescent="0.2">
      <c r="A864">
        <v>22330</v>
      </c>
      <c r="B864" t="s">
        <v>34</v>
      </c>
      <c r="C864" s="16" t="str">
        <f t="shared" si="26"/>
        <v>Married</v>
      </c>
      <c r="D864" t="s">
        <v>34</v>
      </c>
      <c r="E864" s="16" t="str">
        <f t="shared" si="27"/>
        <v>Male</v>
      </c>
      <c r="F864" s="1">
        <v>50000</v>
      </c>
      <c r="G864">
        <v>0</v>
      </c>
      <c r="H864" t="s">
        <v>31</v>
      </c>
      <c r="I864" t="s">
        <v>14</v>
      </c>
      <c r="J864" t="s">
        <v>15</v>
      </c>
      <c r="K864">
        <v>0</v>
      </c>
      <c r="L864" t="s">
        <v>26</v>
      </c>
      <c r="M864" t="s">
        <v>32</v>
      </c>
      <c r="N864">
        <v>32</v>
      </c>
      <c r="O864" t="s">
        <v>15</v>
      </c>
    </row>
    <row r="865" spans="1:15" x14ac:dyDescent="0.2">
      <c r="A865">
        <v>18783</v>
      </c>
      <c r="B865" t="s">
        <v>35</v>
      </c>
      <c r="C865" s="16" t="str">
        <f t="shared" si="26"/>
        <v>Single</v>
      </c>
      <c r="D865" t="s">
        <v>34</v>
      </c>
      <c r="E865" s="16" t="str">
        <f t="shared" si="27"/>
        <v>Male</v>
      </c>
      <c r="F865" s="1">
        <v>80000</v>
      </c>
      <c r="G865">
        <v>0</v>
      </c>
      <c r="H865" t="s">
        <v>13</v>
      </c>
      <c r="I865" t="s">
        <v>28</v>
      </c>
      <c r="J865" t="s">
        <v>18</v>
      </c>
      <c r="K865">
        <v>1</v>
      </c>
      <c r="L865" t="s">
        <v>16</v>
      </c>
      <c r="M865" t="s">
        <v>32</v>
      </c>
      <c r="N865">
        <v>38</v>
      </c>
      <c r="O865" t="s">
        <v>15</v>
      </c>
    </row>
    <row r="866" spans="1:15" x14ac:dyDescent="0.2">
      <c r="A866">
        <v>25041</v>
      </c>
      <c r="B866" t="s">
        <v>35</v>
      </c>
      <c r="C866" s="16" t="str">
        <f t="shared" si="26"/>
        <v>Single</v>
      </c>
      <c r="D866" t="s">
        <v>34</v>
      </c>
      <c r="E866" s="16" t="str">
        <f t="shared" si="27"/>
        <v>Male</v>
      </c>
      <c r="F866" s="1">
        <v>40000</v>
      </c>
      <c r="G866">
        <v>0</v>
      </c>
      <c r="H866" t="s">
        <v>27</v>
      </c>
      <c r="I866" t="s">
        <v>14</v>
      </c>
      <c r="J866" t="s">
        <v>15</v>
      </c>
      <c r="K866">
        <v>2</v>
      </c>
      <c r="L866" t="s">
        <v>23</v>
      </c>
      <c r="M866" t="s">
        <v>32</v>
      </c>
      <c r="N866">
        <v>31</v>
      </c>
      <c r="O866" t="s">
        <v>18</v>
      </c>
    </row>
    <row r="867" spans="1:15" x14ac:dyDescent="0.2">
      <c r="A867">
        <v>22046</v>
      </c>
      <c r="B867" t="s">
        <v>35</v>
      </c>
      <c r="C867" s="16" t="str">
        <f t="shared" si="26"/>
        <v>Single</v>
      </c>
      <c r="D867" t="s">
        <v>33</v>
      </c>
      <c r="E867" s="16" t="str">
        <f t="shared" si="27"/>
        <v>Female</v>
      </c>
      <c r="F867" s="1">
        <v>80000</v>
      </c>
      <c r="G867">
        <v>0</v>
      </c>
      <c r="H867" t="s">
        <v>13</v>
      </c>
      <c r="I867" t="s">
        <v>28</v>
      </c>
      <c r="J867" t="s">
        <v>18</v>
      </c>
      <c r="K867">
        <v>1</v>
      </c>
      <c r="L867" t="s">
        <v>16</v>
      </c>
      <c r="M867" t="s">
        <v>32</v>
      </c>
      <c r="N867">
        <v>38</v>
      </c>
      <c r="O867" t="s">
        <v>15</v>
      </c>
    </row>
    <row r="868" spans="1:15" x14ac:dyDescent="0.2">
      <c r="A868">
        <v>28052</v>
      </c>
      <c r="B868" t="s">
        <v>34</v>
      </c>
      <c r="C868" s="16" t="str">
        <f t="shared" si="26"/>
        <v>Married</v>
      </c>
      <c r="D868" t="s">
        <v>34</v>
      </c>
      <c r="E868" s="16" t="str">
        <f t="shared" si="27"/>
        <v>Male</v>
      </c>
      <c r="F868" s="1">
        <v>60000</v>
      </c>
      <c r="G868">
        <v>2</v>
      </c>
      <c r="H868" t="s">
        <v>27</v>
      </c>
      <c r="I868" t="s">
        <v>21</v>
      </c>
      <c r="J868" t="s">
        <v>15</v>
      </c>
      <c r="K868">
        <v>2</v>
      </c>
      <c r="L868" t="s">
        <v>30</v>
      </c>
      <c r="M868" t="s">
        <v>32</v>
      </c>
      <c r="N868">
        <v>55</v>
      </c>
      <c r="O868" t="s">
        <v>18</v>
      </c>
    </row>
    <row r="869" spans="1:15" x14ac:dyDescent="0.2">
      <c r="A869">
        <v>26693</v>
      </c>
      <c r="B869" t="s">
        <v>34</v>
      </c>
      <c r="C869" s="16" t="str">
        <f t="shared" si="26"/>
        <v>Married</v>
      </c>
      <c r="D869" t="s">
        <v>34</v>
      </c>
      <c r="E869" s="16" t="str">
        <f t="shared" si="27"/>
        <v>Male</v>
      </c>
      <c r="F869" s="1">
        <v>70000</v>
      </c>
      <c r="G869">
        <v>3</v>
      </c>
      <c r="H869" t="s">
        <v>19</v>
      </c>
      <c r="I869" t="s">
        <v>21</v>
      </c>
      <c r="J869" t="s">
        <v>15</v>
      </c>
      <c r="K869">
        <v>1</v>
      </c>
      <c r="L869" t="s">
        <v>23</v>
      </c>
      <c r="M869" t="s">
        <v>32</v>
      </c>
      <c r="N869">
        <v>49</v>
      </c>
      <c r="O869" t="s">
        <v>18</v>
      </c>
    </row>
    <row r="870" spans="1:15" x14ac:dyDescent="0.2">
      <c r="A870">
        <v>24955</v>
      </c>
      <c r="B870" t="s">
        <v>35</v>
      </c>
      <c r="C870" s="16" t="str">
        <f t="shared" si="26"/>
        <v>Single</v>
      </c>
      <c r="D870" t="s">
        <v>34</v>
      </c>
      <c r="E870" s="16" t="str">
        <f t="shared" si="27"/>
        <v>Male</v>
      </c>
      <c r="F870" s="1">
        <v>30000</v>
      </c>
      <c r="G870">
        <v>5</v>
      </c>
      <c r="H870" t="s">
        <v>29</v>
      </c>
      <c r="I870" t="s">
        <v>14</v>
      </c>
      <c r="J870" t="s">
        <v>15</v>
      </c>
      <c r="K870">
        <v>3</v>
      </c>
      <c r="L870" t="s">
        <v>30</v>
      </c>
      <c r="M870" t="s">
        <v>32</v>
      </c>
      <c r="N870">
        <v>60</v>
      </c>
      <c r="O870" t="s">
        <v>15</v>
      </c>
    </row>
    <row r="871" spans="1:15" x14ac:dyDescent="0.2">
      <c r="A871">
        <v>26065</v>
      </c>
      <c r="B871" t="s">
        <v>35</v>
      </c>
      <c r="C871" s="16" t="str">
        <f t="shared" si="26"/>
        <v>Single</v>
      </c>
      <c r="D871" t="s">
        <v>33</v>
      </c>
      <c r="E871" s="16" t="str">
        <f t="shared" si="27"/>
        <v>Female</v>
      </c>
      <c r="F871" s="1">
        <v>110000</v>
      </c>
      <c r="G871">
        <v>3</v>
      </c>
      <c r="H871" t="s">
        <v>13</v>
      </c>
      <c r="I871" t="s">
        <v>28</v>
      </c>
      <c r="J871" t="s">
        <v>18</v>
      </c>
      <c r="K871">
        <v>4</v>
      </c>
      <c r="L871" t="s">
        <v>26</v>
      </c>
      <c r="M871" t="s">
        <v>32</v>
      </c>
      <c r="N871">
        <v>42</v>
      </c>
      <c r="O871" t="s">
        <v>18</v>
      </c>
    </row>
    <row r="872" spans="1:15" x14ac:dyDescent="0.2">
      <c r="A872">
        <v>13942</v>
      </c>
      <c r="B872" t="s">
        <v>34</v>
      </c>
      <c r="C872" s="16" t="str">
        <f t="shared" si="26"/>
        <v>Married</v>
      </c>
      <c r="D872" t="s">
        <v>34</v>
      </c>
      <c r="E872" s="16" t="str">
        <f t="shared" si="27"/>
        <v>Male</v>
      </c>
      <c r="F872" s="1">
        <v>60000</v>
      </c>
      <c r="G872">
        <v>1</v>
      </c>
      <c r="H872" t="s">
        <v>19</v>
      </c>
      <c r="I872" t="s">
        <v>14</v>
      </c>
      <c r="J872" t="s">
        <v>15</v>
      </c>
      <c r="K872">
        <v>1</v>
      </c>
      <c r="L872" t="s">
        <v>16</v>
      </c>
      <c r="M872" t="s">
        <v>32</v>
      </c>
      <c r="N872">
        <v>46</v>
      </c>
      <c r="O872" t="s">
        <v>18</v>
      </c>
    </row>
    <row r="873" spans="1:15" x14ac:dyDescent="0.2">
      <c r="A873">
        <v>11219</v>
      </c>
      <c r="B873" t="s">
        <v>34</v>
      </c>
      <c r="C873" s="16" t="str">
        <f t="shared" si="26"/>
        <v>Married</v>
      </c>
      <c r="D873" t="s">
        <v>34</v>
      </c>
      <c r="E873" s="16" t="str">
        <f t="shared" si="27"/>
        <v>Male</v>
      </c>
      <c r="F873" s="1">
        <v>60000</v>
      </c>
      <c r="G873">
        <v>2</v>
      </c>
      <c r="H873" t="s">
        <v>27</v>
      </c>
      <c r="I873" t="s">
        <v>21</v>
      </c>
      <c r="J873" t="s">
        <v>15</v>
      </c>
      <c r="K873">
        <v>2</v>
      </c>
      <c r="L873" t="s">
        <v>30</v>
      </c>
      <c r="M873" t="s">
        <v>32</v>
      </c>
      <c r="N873">
        <v>55</v>
      </c>
      <c r="O873" t="s">
        <v>18</v>
      </c>
    </row>
    <row r="874" spans="1:15" x14ac:dyDescent="0.2">
      <c r="A874">
        <v>22118</v>
      </c>
      <c r="B874" t="s">
        <v>35</v>
      </c>
      <c r="C874" s="16" t="str">
        <f t="shared" si="26"/>
        <v>Single</v>
      </c>
      <c r="D874" t="s">
        <v>33</v>
      </c>
      <c r="E874" s="16" t="str">
        <f t="shared" si="27"/>
        <v>Female</v>
      </c>
      <c r="F874" s="1">
        <v>70000</v>
      </c>
      <c r="G874">
        <v>3</v>
      </c>
      <c r="H874" t="s">
        <v>31</v>
      </c>
      <c r="I874" t="s">
        <v>28</v>
      </c>
      <c r="J874" t="s">
        <v>15</v>
      </c>
      <c r="K874">
        <v>2</v>
      </c>
      <c r="L874" t="s">
        <v>23</v>
      </c>
      <c r="M874" t="s">
        <v>32</v>
      </c>
      <c r="N874">
        <v>53</v>
      </c>
      <c r="O874" t="s">
        <v>15</v>
      </c>
    </row>
    <row r="875" spans="1:15" x14ac:dyDescent="0.2">
      <c r="A875">
        <v>23197</v>
      </c>
      <c r="B875" t="s">
        <v>34</v>
      </c>
      <c r="C875" s="16" t="str">
        <f t="shared" si="26"/>
        <v>Married</v>
      </c>
      <c r="D875" t="s">
        <v>34</v>
      </c>
      <c r="E875" s="16" t="str">
        <f t="shared" si="27"/>
        <v>Male</v>
      </c>
      <c r="F875" s="1">
        <v>50000</v>
      </c>
      <c r="G875">
        <v>3</v>
      </c>
      <c r="H875" t="s">
        <v>13</v>
      </c>
      <c r="I875" t="s">
        <v>14</v>
      </c>
      <c r="J875" t="s">
        <v>15</v>
      </c>
      <c r="K875">
        <v>2</v>
      </c>
      <c r="L875" t="s">
        <v>22</v>
      </c>
      <c r="M875" t="s">
        <v>32</v>
      </c>
      <c r="N875">
        <v>40</v>
      </c>
      <c r="O875" t="s">
        <v>18</v>
      </c>
    </row>
    <row r="876" spans="1:15" x14ac:dyDescent="0.2">
      <c r="A876">
        <v>14883</v>
      </c>
      <c r="B876" t="s">
        <v>34</v>
      </c>
      <c r="C876" s="16" t="str">
        <f t="shared" si="26"/>
        <v>Married</v>
      </c>
      <c r="D876" t="s">
        <v>33</v>
      </c>
      <c r="E876" s="16" t="str">
        <f t="shared" si="27"/>
        <v>Female</v>
      </c>
      <c r="F876" s="1">
        <v>30000</v>
      </c>
      <c r="G876">
        <v>1</v>
      </c>
      <c r="H876" t="s">
        <v>13</v>
      </c>
      <c r="I876" t="s">
        <v>14</v>
      </c>
      <c r="J876" t="s">
        <v>15</v>
      </c>
      <c r="K876">
        <v>1</v>
      </c>
      <c r="L876" t="s">
        <v>23</v>
      </c>
      <c r="M876" t="s">
        <v>32</v>
      </c>
      <c r="N876">
        <v>53</v>
      </c>
      <c r="O876" t="s">
        <v>15</v>
      </c>
    </row>
    <row r="877" spans="1:15" x14ac:dyDescent="0.2">
      <c r="A877">
        <v>27279</v>
      </c>
      <c r="B877" t="s">
        <v>35</v>
      </c>
      <c r="C877" s="16" t="str">
        <f t="shared" si="26"/>
        <v>Single</v>
      </c>
      <c r="D877" t="s">
        <v>33</v>
      </c>
      <c r="E877" s="16" t="str">
        <f t="shared" si="27"/>
        <v>Female</v>
      </c>
      <c r="F877" s="1">
        <v>70000</v>
      </c>
      <c r="G877">
        <v>2</v>
      </c>
      <c r="H877" t="s">
        <v>13</v>
      </c>
      <c r="I877" t="s">
        <v>14</v>
      </c>
      <c r="J877" t="s">
        <v>15</v>
      </c>
      <c r="K877">
        <v>0</v>
      </c>
      <c r="L877" t="s">
        <v>22</v>
      </c>
      <c r="M877" t="s">
        <v>32</v>
      </c>
      <c r="N877">
        <v>38</v>
      </c>
      <c r="O877" t="s">
        <v>15</v>
      </c>
    </row>
    <row r="878" spans="1:15" x14ac:dyDescent="0.2">
      <c r="A878">
        <v>18322</v>
      </c>
      <c r="B878" t="s">
        <v>35</v>
      </c>
      <c r="C878" s="16" t="str">
        <f t="shared" si="26"/>
        <v>Single</v>
      </c>
      <c r="D878" t="s">
        <v>34</v>
      </c>
      <c r="E878" s="16" t="str">
        <f t="shared" si="27"/>
        <v>Male</v>
      </c>
      <c r="F878" s="1">
        <v>30000</v>
      </c>
      <c r="G878">
        <v>0</v>
      </c>
      <c r="H878" t="s">
        <v>29</v>
      </c>
      <c r="I878" t="s">
        <v>20</v>
      </c>
      <c r="J878" t="s">
        <v>18</v>
      </c>
      <c r="K878">
        <v>2</v>
      </c>
      <c r="L878" t="s">
        <v>16</v>
      </c>
      <c r="M878" t="s">
        <v>32</v>
      </c>
      <c r="N878">
        <v>26</v>
      </c>
      <c r="O878" t="s">
        <v>18</v>
      </c>
    </row>
    <row r="879" spans="1:15" x14ac:dyDescent="0.2">
      <c r="A879">
        <v>15879</v>
      </c>
      <c r="B879" t="s">
        <v>34</v>
      </c>
      <c r="C879" s="16" t="str">
        <f t="shared" si="26"/>
        <v>Married</v>
      </c>
      <c r="D879" t="s">
        <v>34</v>
      </c>
      <c r="E879" s="16" t="str">
        <f t="shared" si="27"/>
        <v>Male</v>
      </c>
      <c r="F879" s="1">
        <v>70000</v>
      </c>
      <c r="G879">
        <v>5</v>
      </c>
      <c r="H879" t="s">
        <v>13</v>
      </c>
      <c r="I879" t="s">
        <v>28</v>
      </c>
      <c r="J879" t="s">
        <v>15</v>
      </c>
      <c r="K879">
        <v>2</v>
      </c>
      <c r="L879" t="s">
        <v>22</v>
      </c>
      <c r="M879" t="s">
        <v>32</v>
      </c>
      <c r="N879">
        <v>61</v>
      </c>
      <c r="O879" t="s">
        <v>18</v>
      </c>
    </row>
    <row r="880" spans="1:15" x14ac:dyDescent="0.2">
      <c r="A880">
        <v>28278</v>
      </c>
      <c r="B880" t="s">
        <v>34</v>
      </c>
      <c r="C880" s="16" t="str">
        <f t="shared" si="26"/>
        <v>Married</v>
      </c>
      <c r="D880" t="s">
        <v>34</v>
      </c>
      <c r="E880" s="16" t="str">
        <f t="shared" si="27"/>
        <v>Male</v>
      </c>
      <c r="F880" s="1">
        <v>50000</v>
      </c>
      <c r="G880">
        <v>2</v>
      </c>
      <c r="H880" t="s">
        <v>31</v>
      </c>
      <c r="I880" t="s">
        <v>28</v>
      </c>
      <c r="J880" t="s">
        <v>15</v>
      </c>
      <c r="K880">
        <v>2</v>
      </c>
      <c r="L880" t="s">
        <v>23</v>
      </c>
      <c r="M880" t="s">
        <v>32</v>
      </c>
      <c r="N880">
        <v>71</v>
      </c>
      <c r="O880" t="s">
        <v>18</v>
      </c>
    </row>
    <row r="881" spans="1:15" x14ac:dyDescent="0.2">
      <c r="A881">
        <v>24416</v>
      </c>
      <c r="B881" t="s">
        <v>34</v>
      </c>
      <c r="C881" s="16" t="str">
        <f t="shared" si="26"/>
        <v>Married</v>
      </c>
      <c r="D881" t="s">
        <v>34</v>
      </c>
      <c r="E881" s="16" t="str">
        <f t="shared" si="27"/>
        <v>Male</v>
      </c>
      <c r="F881" s="1">
        <v>90000</v>
      </c>
      <c r="G881">
        <v>4</v>
      </c>
      <c r="H881" t="s">
        <v>27</v>
      </c>
      <c r="I881" t="s">
        <v>21</v>
      </c>
      <c r="J881" t="s">
        <v>15</v>
      </c>
      <c r="K881">
        <v>2</v>
      </c>
      <c r="L881" t="s">
        <v>26</v>
      </c>
      <c r="M881" t="s">
        <v>32</v>
      </c>
      <c r="N881">
        <v>45</v>
      </c>
      <c r="O881" t="s">
        <v>18</v>
      </c>
    </row>
    <row r="882" spans="1:15" x14ac:dyDescent="0.2">
      <c r="A882">
        <v>28066</v>
      </c>
      <c r="B882" t="s">
        <v>34</v>
      </c>
      <c r="C882" s="16" t="str">
        <f t="shared" si="26"/>
        <v>Married</v>
      </c>
      <c r="D882" t="s">
        <v>34</v>
      </c>
      <c r="E882" s="16" t="str">
        <f t="shared" si="27"/>
        <v>Male</v>
      </c>
      <c r="F882" s="1">
        <v>80000</v>
      </c>
      <c r="G882">
        <v>2</v>
      </c>
      <c r="H882" t="s">
        <v>31</v>
      </c>
      <c r="I882" t="s">
        <v>21</v>
      </c>
      <c r="J882" t="s">
        <v>15</v>
      </c>
      <c r="K882">
        <v>0</v>
      </c>
      <c r="L882" t="s">
        <v>16</v>
      </c>
      <c r="M882" t="s">
        <v>32</v>
      </c>
      <c r="N882">
        <v>37</v>
      </c>
      <c r="O882" t="s">
        <v>15</v>
      </c>
    </row>
    <row r="883" spans="1:15" x14ac:dyDescent="0.2">
      <c r="A883">
        <v>11275</v>
      </c>
      <c r="B883" t="s">
        <v>34</v>
      </c>
      <c r="C883" s="16" t="str">
        <f t="shared" si="26"/>
        <v>Married</v>
      </c>
      <c r="D883" t="s">
        <v>33</v>
      </c>
      <c r="E883" s="16" t="str">
        <f t="shared" si="27"/>
        <v>Female</v>
      </c>
      <c r="F883" s="1">
        <v>80000</v>
      </c>
      <c r="G883">
        <v>4</v>
      </c>
      <c r="H883" t="s">
        <v>31</v>
      </c>
      <c r="I883" t="s">
        <v>28</v>
      </c>
      <c r="J883" t="s">
        <v>15</v>
      </c>
      <c r="K883">
        <v>2</v>
      </c>
      <c r="L883" t="s">
        <v>16</v>
      </c>
      <c r="M883" t="s">
        <v>32</v>
      </c>
      <c r="N883">
        <v>72</v>
      </c>
      <c r="O883" t="s">
        <v>15</v>
      </c>
    </row>
    <row r="884" spans="1:15" x14ac:dyDescent="0.2">
      <c r="A884">
        <v>14872</v>
      </c>
      <c r="B884" t="s">
        <v>34</v>
      </c>
      <c r="C884" s="16" t="str">
        <f t="shared" si="26"/>
        <v>Married</v>
      </c>
      <c r="D884" t="s">
        <v>34</v>
      </c>
      <c r="E884" s="16" t="str">
        <f t="shared" si="27"/>
        <v>Male</v>
      </c>
      <c r="F884" s="1">
        <v>30000</v>
      </c>
      <c r="G884">
        <v>0</v>
      </c>
      <c r="H884" t="s">
        <v>31</v>
      </c>
      <c r="I884" t="s">
        <v>14</v>
      </c>
      <c r="J884" t="s">
        <v>15</v>
      </c>
      <c r="K884">
        <v>0</v>
      </c>
      <c r="L884" t="s">
        <v>16</v>
      </c>
      <c r="M884" t="s">
        <v>32</v>
      </c>
      <c r="N884">
        <v>32</v>
      </c>
      <c r="O884" t="s">
        <v>18</v>
      </c>
    </row>
    <row r="885" spans="1:15" x14ac:dyDescent="0.2">
      <c r="A885">
        <v>16151</v>
      </c>
      <c r="B885" t="s">
        <v>34</v>
      </c>
      <c r="C885" s="16" t="str">
        <f t="shared" si="26"/>
        <v>Married</v>
      </c>
      <c r="D885" t="s">
        <v>33</v>
      </c>
      <c r="E885" s="16" t="str">
        <f t="shared" si="27"/>
        <v>Female</v>
      </c>
      <c r="F885" s="1">
        <v>60000</v>
      </c>
      <c r="G885">
        <v>1</v>
      </c>
      <c r="H885" t="s">
        <v>13</v>
      </c>
      <c r="I885" t="s">
        <v>21</v>
      </c>
      <c r="J885" t="s">
        <v>15</v>
      </c>
      <c r="K885">
        <v>1</v>
      </c>
      <c r="L885" t="s">
        <v>22</v>
      </c>
      <c r="M885" t="s">
        <v>32</v>
      </c>
      <c r="N885">
        <v>48</v>
      </c>
      <c r="O885" t="s">
        <v>15</v>
      </c>
    </row>
    <row r="886" spans="1:15" x14ac:dyDescent="0.2">
      <c r="A886">
        <v>19731</v>
      </c>
      <c r="B886" t="s">
        <v>34</v>
      </c>
      <c r="C886" s="16" t="str">
        <f t="shared" si="26"/>
        <v>Married</v>
      </c>
      <c r="D886" t="s">
        <v>34</v>
      </c>
      <c r="E886" s="16" t="str">
        <f t="shared" si="27"/>
        <v>Male</v>
      </c>
      <c r="F886" s="1">
        <v>80000</v>
      </c>
      <c r="G886">
        <v>4</v>
      </c>
      <c r="H886" t="s">
        <v>31</v>
      </c>
      <c r="I886" t="s">
        <v>28</v>
      </c>
      <c r="J886" t="s">
        <v>15</v>
      </c>
      <c r="K886">
        <v>2</v>
      </c>
      <c r="L886" t="s">
        <v>23</v>
      </c>
      <c r="M886" t="s">
        <v>32</v>
      </c>
      <c r="N886">
        <v>68</v>
      </c>
      <c r="O886" t="s">
        <v>18</v>
      </c>
    </row>
    <row r="887" spans="1:15" x14ac:dyDescent="0.2">
      <c r="A887">
        <v>23801</v>
      </c>
      <c r="B887" t="s">
        <v>34</v>
      </c>
      <c r="C887" s="16" t="str">
        <f t="shared" si="26"/>
        <v>Married</v>
      </c>
      <c r="D887" t="s">
        <v>33</v>
      </c>
      <c r="E887" s="16" t="str">
        <f t="shared" si="27"/>
        <v>Female</v>
      </c>
      <c r="F887" s="1">
        <v>20000</v>
      </c>
      <c r="G887">
        <v>2</v>
      </c>
      <c r="H887" t="s">
        <v>29</v>
      </c>
      <c r="I887" t="s">
        <v>20</v>
      </c>
      <c r="J887" t="s">
        <v>15</v>
      </c>
      <c r="K887">
        <v>2</v>
      </c>
      <c r="L887" t="s">
        <v>16</v>
      </c>
      <c r="M887" t="s">
        <v>32</v>
      </c>
      <c r="N887">
        <v>49</v>
      </c>
      <c r="O887" t="s">
        <v>18</v>
      </c>
    </row>
    <row r="888" spans="1:15" x14ac:dyDescent="0.2">
      <c r="A888">
        <v>11807</v>
      </c>
      <c r="B888" t="s">
        <v>34</v>
      </c>
      <c r="C888" s="16" t="str">
        <f t="shared" si="26"/>
        <v>Married</v>
      </c>
      <c r="D888" t="s">
        <v>34</v>
      </c>
      <c r="E888" s="16" t="str">
        <f t="shared" si="27"/>
        <v>Male</v>
      </c>
      <c r="F888" s="1">
        <v>70000</v>
      </c>
      <c r="G888">
        <v>3</v>
      </c>
      <c r="H888" t="s">
        <v>31</v>
      </c>
      <c r="I888" t="s">
        <v>21</v>
      </c>
      <c r="J888" t="s">
        <v>15</v>
      </c>
      <c r="K888">
        <v>0</v>
      </c>
      <c r="L888" t="s">
        <v>22</v>
      </c>
      <c r="M888" t="s">
        <v>32</v>
      </c>
      <c r="N888">
        <v>34</v>
      </c>
      <c r="O888" t="s">
        <v>18</v>
      </c>
    </row>
    <row r="889" spans="1:15" x14ac:dyDescent="0.2">
      <c r="A889">
        <v>11622</v>
      </c>
      <c r="B889" t="s">
        <v>34</v>
      </c>
      <c r="C889" s="16" t="str">
        <f t="shared" si="26"/>
        <v>Married</v>
      </c>
      <c r="D889" t="s">
        <v>34</v>
      </c>
      <c r="E889" s="16" t="str">
        <f t="shared" si="27"/>
        <v>Male</v>
      </c>
      <c r="F889" s="1">
        <v>50000</v>
      </c>
      <c r="G889">
        <v>0</v>
      </c>
      <c r="H889" t="s">
        <v>31</v>
      </c>
      <c r="I889" t="s">
        <v>14</v>
      </c>
      <c r="J889" t="s">
        <v>15</v>
      </c>
      <c r="K889">
        <v>0</v>
      </c>
      <c r="L889" t="s">
        <v>16</v>
      </c>
      <c r="M889" t="s">
        <v>32</v>
      </c>
      <c r="N889">
        <v>32</v>
      </c>
      <c r="O889" t="s">
        <v>18</v>
      </c>
    </row>
    <row r="890" spans="1:15" x14ac:dyDescent="0.2">
      <c r="A890">
        <v>26597</v>
      </c>
      <c r="B890" t="s">
        <v>35</v>
      </c>
      <c r="C890" s="16" t="str">
        <f t="shared" si="26"/>
        <v>Single</v>
      </c>
      <c r="D890" t="s">
        <v>33</v>
      </c>
      <c r="E890" s="16" t="str">
        <f t="shared" si="27"/>
        <v>Female</v>
      </c>
      <c r="F890" s="1">
        <v>60000</v>
      </c>
      <c r="G890">
        <v>4</v>
      </c>
      <c r="H890" t="s">
        <v>13</v>
      </c>
      <c r="I890" t="s">
        <v>14</v>
      </c>
      <c r="J890" t="s">
        <v>18</v>
      </c>
      <c r="K890">
        <v>2</v>
      </c>
      <c r="L890" t="s">
        <v>16</v>
      </c>
      <c r="M890" t="s">
        <v>32</v>
      </c>
      <c r="N890">
        <v>42</v>
      </c>
      <c r="O890" t="s">
        <v>18</v>
      </c>
    </row>
    <row r="891" spans="1:15" x14ac:dyDescent="0.2">
      <c r="A891">
        <v>27074</v>
      </c>
      <c r="B891" t="s">
        <v>34</v>
      </c>
      <c r="C891" s="16" t="str">
        <f t="shared" si="26"/>
        <v>Married</v>
      </c>
      <c r="D891" t="s">
        <v>33</v>
      </c>
      <c r="E891" s="16" t="str">
        <f t="shared" si="27"/>
        <v>Female</v>
      </c>
      <c r="F891" s="1">
        <v>70000</v>
      </c>
      <c r="G891">
        <v>1</v>
      </c>
      <c r="H891" t="s">
        <v>31</v>
      </c>
      <c r="I891" t="s">
        <v>14</v>
      </c>
      <c r="J891" t="s">
        <v>15</v>
      </c>
      <c r="K891">
        <v>0</v>
      </c>
      <c r="L891" t="s">
        <v>16</v>
      </c>
      <c r="M891" t="s">
        <v>32</v>
      </c>
      <c r="N891">
        <v>35</v>
      </c>
      <c r="O891" t="s">
        <v>15</v>
      </c>
    </row>
    <row r="892" spans="1:15" x14ac:dyDescent="0.2">
      <c r="A892">
        <v>19228</v>
      </c>
      <c r="B892" t="s">
        <v>34</v>
      </c>
      <c r="C892" s="16" t="str">
        <f t="shared" si="26"/>
        <v>Married</v>
      </c>
      <c r="D892" t="s">
        <v>33</v>
      </c>
      <c r="E892" s="16" t="str">
        <f t="shared" si="27"/>
        <v>Female</v>
      </c>
      <c r="F892" s="1">
        <v>40000</v>
      </c>
      <c r="G892">
        <v>2</v>
      </c>
      <c r="H892" t="s">
        <v>19</v>
      </c>
      <c r="I892" t="s">
        <v>20</v>
      </c>
      <c r="J892" t="s">
        <v>15</v>
      </c>
      <c r="K892">
        <v>1</v>
      </c>
      <c r="L892" t="s">
        <v>16</v>
      </c>
      <c r="M892" t="s">
        <v>32</v>
      </c>
      <c r="N892">
        <v>48</v>
      </c>
      <c r="O892" t="s">
        <v>18</v>
      </c>
    </row>
    <row r="893" spans="1:15" x14ac:dyDescent="0.2">
      <c r="A893">
        <v>13415</v>
      </c>
      <c r="B893" t="s">
        <v>35</v>
      </c>
      <c r="C893" s="16" t="str">
        <f t="shared" si="26"/>
        <v>Single</v>
      </c>
      <c r="D893" t="s">
        <v>34</v>
      </c>
      <c r="E893" s="16" t="str">
        <f t="shared" si="27"/>
        <v>Male</v>
      </c>
      <c r="F893" s="1">
        <v>100000</v>
      </c>
      <c r="G893">
        <v>1</v>
      </c>
      <c r="H893" t="s">
        <v>31</v>
      </c>
      <c r="I893" t="s">
        <v>28</v>
      </c>
      <c r="J893" t="s">
        <v>15</v>
      </c>
      <c r="K893">
        <v>3</v>
      </c>
      <c r="L893" t="s">
        <v>22</v>
      </c>
      <c r="M893" t="s">
        <v>32</v>
      </c>
      <c r="N893">
        <v>73</v>
      </c>
      <c r="O893" t="s">
        <v>15</v>
      </c>
    </row>
    <row r="894" spans="1:15" x14ac:dyDescent="0.2">
      <c r="A894">
        <v>17000</v>
      </c>
      <c r="B894" t="s">
        <v>35</v>
      </c>
      <c r="C894" s="16" t="str">
        <f t="shared" si="26"/>
        <v>Single</v>
      </c>
      <c r="D894" t="s">
        <v>33</v>
      </c>
      <c r="E894" s="16" t="str">
        <f t="shared" si="27"/>
        <v>Female</v>
      </c>
      <c r="F894" s="1">
        <v>70000</v>
      </c>
      <c r="G894">
        <v>4</v>
      </c>
      <c r="H894" t="s">
        <v>13</v>
      </c>
      <c r="I894" t="s">
        <v>14</v>
      </c>
      <c r="J894" t="s">
        <v>15</v>
      </c>
      <c r="K894">
        <v>2</v>
      </c>
      <c r="L894" t="s">
        <v>22</v>
      </c>
      <c r="M894" t="s">
        <v>32</v>
      </c>
      <c r="N894">
        <v>43</v>
      </c>
      <c r="O894" t="s">
        <v>15</v>
      </c>
    </row>
    <row r="895" spans="1:15" x14ac:dyDescent="0.2">
      <c r="A895">
        <v>14569</v>
      </c>
      <c r="B895" t="s">
        <v>34</v>
      </c>
      <c r="C895" s="16" t="str">
        <f t="shared" si="26"/>
        <v>Married</v>
      </c>
      <c r="D895" t="s">
        <v>34</v>
      </c>
      <c r="E895" s="16" t="str">
        <f t="shared" si="27"/>
        <v>Male</v>
      </c>
      <c r="F895" s="1">
        <v>60000</v>
      </c>
      <c r="G895">
        <v>1</v>
      </c>
      <c r="H895" t="s">
        <v>31</v>
      </c>
      <c r="I895" t="s">
        <v>21</v>
      </c>
      <c r="J895" t="s">
        <v>15</v>
      </c>
      <c r="K895">
        <v>0</v>
      </c>
      <c r="L895" t="s">
        <v>16</v>
      </c>
      <c r="M895" t="s">
        <v>32</v>
      </c>
      <c r="N895">
        <v>35</v>
      </c>
      <c r="O895" t="s">
        <v>18</v>
      </c>
    </row>
    <row r="896" spans="1:15" x14ac:dyDescent="0.2">
      <c r="A896">
        <v>13873</v>
      </c>
      <c r="B896" t="s">
        <v>34</v>
      </c>
      <c r="C896" s="16" t="str">
        <f t="shared" si="26"/>
        <v>Married</v>
      </c>
      <c r="D896" t="s">
        <v>34</v>
      </c>
      <c r="E896" s="16" t="str">
        <f t="shared" si="27"/>
        <v>Male</v>
      </c>
      <c r="F896" s="1">
        <v>70000</v>
      </c>
      <c r="G896">
        <v>3</v>
      </c>
      <c r="H896" t="s">
        <v>31</v>
      </c>
      <c r="I896" t="s">
        <v>21</v>
      </c>
      <c r="J896" t="s">
        <v>15</v>
      </c>
      <c r="K896">
        <v>0</v>
      </c>
      <c r="L896" t="s">
        <v>16</v>
      </c>
      <c r="M896" t="s">
        <v>32</v>
      </c>
      <c r="N896">
        <v>35</v>
      </c>
      <c r="O896" t="s">
        <v>15</v>
      </c>
    </row>
    <row r="897" spans="1:15" x14ac:dyDescent="0.2">
      <c r="A897">
        <v>20401</v>
      </c>
      <c r="B897" t="s">
        <v>34</v>
      </c>
      <c r="C897" s="16" t="str">
        <f t="shared" si="26"/>
        <v>Married</v>
      </c>
      <c r="D897" t="s">
        <v>33</v>
      </c>
      <c r="E897" s="16" t="str">
        <f t="shared" si="27"/>
        <v>Female</v>
      </c>
      <c r="F897" s="1">
        <v>50000</v>
      </c>
      <c r="G897">
        <v>4</v>
      </c>
      <c r="H897" t="s">
        <v>13</v>
      </c>
      <c r="I897" t="s">
        <v>28</v>
      </c>
      <c r="J897" t="s">
        <v>15</v>
      </c>
      <c r="K897">
        <v>2</v>
      </c>
      <c r="L897" t="s">
        <v>26</v>
      </c>
      <c r="M897" t="s">
        <v>32</v>
      </c>
      <c r="N897">
        <v>64</v>
      </c>
      <c r="O897" t="s">
        <v>15</v>
      </c>
    </row>
    <row r="898" spans="1:15" x14ac:dyDescent="0.2">
      <c r="A898">
        <v>21583</v>
      </c>
      <c r="B898" t="s">
        <v>34</v>
      </c>
      <c r="C898" s="16" t="str">
        <f t="shared" ref="C898:C961" si="28">IF(B898="M","Married","Single")</f>
        <v>Married</v>
      </c>
      <c r="D898" t="s">
        <v>33</v>
      </c>
      <c r="E898" s="16" t="str">
        <f t="shared" ref="E898:E961" si="29">IF(D898="F","Female","Male")</f>
        <v>Female</v>
      </c>
      <c r="F898" s="1">
        <v>50000</v>
      </c>
      <c r="G898">
        <v>1</v>
      </c>
      <c r="H898" t="s">
        <v>13</v>
      </c>
      <c r="I898" t="s">
        <v>14</v>
      </c>
      <c r="J898" t="s">
        <v>15</v>
      </c>
      <c r="K898">
        <v>0</v>
      </c>
      <c r="L898" t="s">
        <v>16</v>
      </c>
      <c r="M898" t="s">
        <v>32</v>
      </c>
      <c r="N898">
        <v>34</v>
      </c>
      <c r="O898" t="s">
        <v>15</v>
      </c>
    </row>
    <row r="899" spans="1:15" x14ac:dyDescent="0.2">
      <c r="A899">
        <v>12029</v>
      </c>
      <c r="B899" t="s">
        <v>34</v>
      </c>
      <c r="C899" s="16" t="str">
        <f t="shared" si="28"/>
        <v>Married</v>
      </c>
      <c r="D899" t="s">
        <v>34</v>
      </c>
      <c r="E899" s="16" t="str">
        <f t="shared" si="29"/>
        <v>Male</v>
      </c>
      <c r="F899" s="1">
        <v>30000</v>
      </c>
      <c r="G899">
        <v>0</v>
      </c>
      <c r="H899" t="s">
        <v>29</v>
      </c>
      <c r="I899" t="s">
        <v>20</v>
      </c>
      <c r="J899" t="s">
        <v>18</v>
      </c>
      <c r="K899">
        <v>2</v>
      </c>
      <c r="L899" t="s">
        <v>16</v>
      </c>
      <c r="M899" t="s">
        <v>32</v>
      </c>
      <c r="N899">
        <v>28</v>
      </c>
      <c r="O899" t="s">
        <v>18</v>
      </c>
    </row>
    <row r="900" spans="1:15" x14ac:dyDescent="0.2">
      <c r="A900">
        <v>18066</v>
      </c>
      <c r="B900" t="s">
        <v>35</v>
      </c>
      <c r="C900" s="16" t="str">
        <f t="shared" si="28"/>
        <v>Single</v>
      </c>
      <c r="D900" t="s">
        <v>34</v>
      </c>
      <c r="E900" s="16" t="str">
        <f t="shared" si="29"/>
        <v>Male</v>
      </c>
      <c r="F900" s="1">
        <v>70000</v>
      </c>
      <c r="G900">
        <v>5</v>
      </c>
      <c r="H900" t="s">
        <v>13</v>
      </c>
      <c r="I900" t="s">
        <v>28</v>
      </c>
      <c r="J900" t="s">
        <v>15</v>
      </c>
      <c r="K900">
        <v>3</v>
      </c>
      <c r="L900" t="s">
        <v>30</v>
      </c>
      <c r="M900" t="s">
        <v>32</v>
      </c>
      <c r="N900">
        <v>60</v>
      </c>
      <c r="O900" t="s">
        <v>15</v>
      </c>
    </row>
    <row r="901" spans="1:15" x14ac:dyDescent="0.2">
      <c r="A901">
        <v>28192</v>
      </c>
      <c r="B901" t="s">
        <v>34</v>
      </c>
      <c r="C901" s="16" t="str">
        <f t="shared" si="28"/>
        <v>Married</v>
      </c>
      <c r="D901" t="s">
        <v>33</v>
      </c>
      <c r="E901" s="16" t="str">
        <f t="shared" si="29"/>
        <v>Female</v>
      </c>
      <c r="F901" s="1">
        <v>70000</v>
      </c>
      <c r="G901">
        <v>5</v>
      </c>
      <c r="H901" t="s">
        <v>31</v>
      </c>
      <c r="I901" t="s">
        <v>21</v>
      </c>
      <c r="J901" t="s">
        <v>15</v>
      </c>
      <c r="K901">
        <v>3</v>
      </c>
      <c r="L901" t="s">
        <v>30</v>
      </c>
      <c r="M901" t="s">
        <v>32</v>
      </c>
      <c r="N901">
        <v>46</v>
      </c>
      <c r="O901" t="s">
        <v>18</v>
      </c>
    </row>
    <row r="902" spans="1:15" x14ac:dyDescent="0.2">
      <c r="A902">
        <v>16122</v>
      </c>
      <c r="B902" t="s">
        <v>34</v>
      </c>
      <c r="C902" s="16" t="str">
        <f t="shared" si="28"/>
        <v>Married</v>
      </c>
      <c r="D902" t="s">
        <v>34</v>
      </c>
      <c r="E902" s="16" t="str">
        <f t="shared" si="29"/>
        <v>Male</v>
      </c>
      <c r="F902" s="1">
        <v>40000</v>
      </c>
      <c r="G902">
        <v>4</v>
      </c>
      <c r="H902" t="s">
        <v>27</v>
      </c>
      <c r="I902" t="s">
        <v>14</v>
      </c>
      <c r="J902" t="s">
        <v>15</v>
      </c>
      <c r="K902">
        <v>2</v>
      </c>
      <c r="L902" t="s">
        <v>16</v>
      </c>
      <c r="M902" t="s">
        <v>32</v>
      </c>
      <c r="N902">
        <v>44</v>
      </c>
      <c r="O902" t="s">
        <v>15</v>
      </c>
    </row>
    <row r="903" spans="1:15" x14ac:dyDescent="0.2">
      <c r="A903">
        <v>18607</v>
      </c>
      <c r="B903" t="s">
        <v>35</v>
      </c>
      <c r="C903" s="16" t="str">
        <f t="shared" si="28"/>
        <v>Single</v>
      </c>
      <c r="D903" t="s">
        <v>33</v>
      </c>
      <c r="E903" s="16" t="str">
        <f t="shared" si="29"/>
        <v>Female</v>
      </c>
      <c r="F903" s="1">
        <v>60000</v>
      </c>
      <c r="G903">
        <v>4</v>
      </c>
      <c r="H903" t="s">
        <v>13</v>
      </c>
      <c r="I903" t="s">
        <v>14</v>
      </c>
      <c r="J903" t="s">
        <v>15</v>
      </c>
      <c r="K903">
        <v>2</v>
      </c>
      <c r="L903" t="s">
        <v>22</v>
      </c>
      <c r="M903" t="s">
        <v>32</v>
      </c>
      <c r="N903">
        <v>42</v>
      </c>
      <c r="O903" t="s">
        <v>15</v>
      </c>
    </row>
    <row r="904" spans="1:15" x14ac:dyDescent="0.2">
      <c r="A904">
        <v>28858</v>
      </c>
      <c r="B904" t="s">
        <v>35</v>
      </c>
      <c r="C904" s="16" t="str">
        <f t="shared" si="28"/>
        <v>Single</v>
      </c>
      <c r="D904" t="s">
        <v>34</v>
      </c>
      <c r="E904" s="16" t="str">
        <f t="shared" si="29"/>
        <v>Male</v>
      </c>
      <c r="F904" s="1">
        <v>80000</v>
      </c>
      <c r="G904">
        <v>3</v>
      </c>
      <c r="H904" t="s">
        <v>13</v>
      </c>
      <c r="I904" t="s">
        <v>14</v>
      </c>
      <c r="J904" t="s">
        <v>15</v>
      </c>
      <c r="K904">
        <v>0</v>
      </c>
      <c r="L904" t="s">
        <v>22</v>
      </c>
      <c r="M904" t="s">
        <v>32</v>
      </c>
      <c r="N904">
        <v>40</v>
      </c>
      <c r="O904" t="s">
        <v>18</v>
      </c>
    </row>
    <row r="905" spans="1:15" x14ac:dyDescent="0.2">
      <c r="A905">
        <v>14432</v>
      </c>
      <c r="B905" t="s">
        <v>35</v>
      </c>
      <c r="C905" s="16" t="str">
        <f t="shared" si="28"/>
        <v>Single</v>
      </c>
      <c r="D905" t="s">
        <v>34</v>
      </c>
      <c r="E905" s="16" t="str">
        <f t="shared" si="29"/>
        <v>Male</v>
      </c>
      <c r="F905" s="1">
        <v>90000</v>
      </c>
      <c r="G905">
        <v>4</v>
      </c>
      <c r="H905" t="s">
        <v>31</v>
      </c>
      <c r="I905" t="s">
        <v>28</v>
      </c>
      <c r="J905" t="s">
        <v>15</v>
      </c>
      <c r="K905">
        <v>1</v>
      </c>
      <c r="L905" t="s">
        <v>23</v>
      </c>
      <c r="M905" t="s">
        <v>32</v>
      </c>
      <c r="N905">
        <v>73</v>
      </c>
      <c r="O905" t="s">
        <v>18</v>
      </c>
    </row>
    <row r="906" spans="1:15" x14ac:dyDescent="0.2">
      <c r="A906">
        <v>26305</v>
      </c>
      <c r="B906" t="s">
        <v>35</v>
      </c>
      <c r="C906" s="16" t="str">
        <f t="shared" si="28"/>
        <v>Single</v>
      </c>
      <c r="D906" t="s">
        <v>33</v>
      </c>
      <c r="E906" s="16" t="str">
        <f t="shared" si="29"/>
        <v>Female</v>
      </c>
      <c r="F906" s="1">
        <v>60000</v>
      </c>
      <c r="G906">
        <v>2</v>
      </c>
      <c r="H906" t="s">
        <v>13</v>
      </c>
      <c r="I906" t="s">
        <v>14</v>
      </c>
      <c r="J906" t="s">
        <v>18</v>
      </c>
      <c r="K906">
        <v>0</v>
      </c>
      <c r="L906" t="s">
        <v>16</v>
      </c>
      <c r="M906" t="s">
        <v>32</v>
      </c>
      <c r="N906">
        <v>36</v>
      </c>
      <c r="O906" t="s">
        <v>15</v>
      </c>
    </row>
    <row r="907" spans="1:15" x14ac:dyDescent="0.2">
      <c r="A907">
        <v>22050</v>
      </c>
      <c r="B907" t="s">
        <v>35</v>
      </c>
      <c r="C907" s="16" t="str">
        <f t="shared" si="28"/>
        <v>Single</v>
      </c>
      <c r="D907" t="s">
        <v>34</v>
      </c>
      <c r="E907" s="16" t="str">
        <f t="shared" si="29"/>
        <v>Male</v>
      </c>
      <c r="F907" s="1">
        <v>90000</v>
      </c>
      <c r="G907">
        <v>4</v>
      </c>
      <c r="H907" t="s">
        <v>13</v>
      </c>
      <c r="I907" t="s">
        <v>28</v>
      </c>
      <c r="J907" t="s">
        <v>15</v>
      </c>
      <c r="K907">
        <v>1</v>
      </c>
      <c r="L907" t="s">
        <v>26</v>
      </c>
      <c r="M907" t="s">
        <v>32</v>
      </c>
      <c r="N907">
        <v>38</v>
      </c>
      <c r="O907" t="s">
        <v>15</v>
      </c>
    </row>
    <row r="908" spans="1:15" x14ac:dyDescent="0.2">
      <c r="A908">
        <v>25394</v>
      </c>
      <c r="B908" t="s">
        <v>34</v>
      </c>
      <c r="C908" s="16" t="str">
        <f t="shared" si="28"/>
        <v>Married</v>
      </c>
      <c r="D908" t="s">
        <v>34</v>
      </c>
      <c r="E908" s="16" t="str">
        <f t="shared" si="29"/>
        <v>Male</v>
      </c>
      <c r="F908" s="1">
        <v>60000</v>
      </c>
      <c r="G908">
        <v>1</v>
      </c>
      <c r="H908" t="s">
        <v>31</v>
      </c>
      <c r="I908" t="s">
        <v>21</v>
      </c>
      <c r="J908" t="s">
        <v>15</v>
      </c>
      <c r="K908">
        <v>0</v>
      </c>
      <c r="L908" t="s">
        <v>22</v>
      </c>
      <c r="M908" t="s">
        <v>32</v>
      </c>
      <c r="N908">
        <v>34</v>
      </c>
      <c r="O908" t="s">
        <v>15</v>
      </c>
    </row>
    <row r="909" spans="1:15" x14ac:dyDescent="0.2">
      <c r="A909">
        <v>19747</v>
      </c>
      <c r="B909" t="s">
        <v>34</v>
      </c>
      <c r="C909" s="16" t="str">
        <f t="shared" si="28"/>
        <v>Married</v>
      </c>
      <c r="D909" t="s">
        <v>34</v>
      </c>
      <c r="E909" s="16" t="str">
        <f t="shared" si="29"/>
        <v>Male</v>
      </c>
      <c r="F909" s="1">
        <v>50000</v>
      </c>
      <c r="G909">
        <v>4</v>
      </c>
      <c r="H909" t="s">
        <v>13</v>
      </c>
      <c r="I909" t="s">
        <v>28</v>
      </c>
      <c r="J909" t="s">
        <v>15</v>
      </c>
      <c r="K909">
        <v>2</v>
      </c>
      <c r="L909" t="s">
        <v>30</v>
      </c>
      <c r="M909" t="s">
        <v>32</v>
      </c>
      <c r="N909">
        <v>63</v>
      </c>
      <c r="O909" t="s">
        <v>18</v>
      </c>
    </row>
    <row r="910" spans="1:15" x14ac:dyDescent="0.2">
      <c r="A910">
        <v>23195</v>
      </c>
      <c r="B910" t="s">
        <v>35</v>
      </c>
      <c r="C910" s="16" t="str">
        <f t="shared" si="28"/>
        <v>Single</v>
      </c>
      <c r="D910" t="s">
        <v>34</v>
      </c>
      <c r="E910" s="16" t="str">
        <f t="shared" si="29"/>
        <v>Male</v>
      </c>
      <c r="F910" s="1">
        <v>50000</v>
      </c>
      <c r="G910">
        <v>3</v>
      </c>
      <c r="H910" t="s">
        <v>13</v>
      </c>
      <c r="I910" t="s">
        <v>14</v>
      </c>
      <c r="J910" t="s">
        <v>15</v>
      </c>
      <c r="K910">
        <v>2</v>
      </c>
      <c r="L910" t="s">
        <v>22</v>
      </c>
      <c r="M910" t="s">
        <v>32</v>
      </c>
      <c r="N910">
        <v>41</v>
      </c>
      <c r="O910" t="s">
        <v>15</v>
      </c>
    </row>
    <row r="911" spans="1:15" x14ac:dyDescent="0.2">
      <c r="A911">
        <v>21695</v>
      </c>
      <c r="B911" t="s">
        <v>34</v>
      </c>
      <c r="C911" s="16" t="str">
        <f t="shared" si="28"/>
        <v>Married</v>
      </c>
      <c r="D911" t="s">
        <v>34</v>
      </c>
      <c r="E911" s="16" t="str">
        <f t="shared" si="29"/>
        <v>Male</v>
      </c>
      <c r="F911" s="1">
        <v>60000</v>
      </c>
      <c r="G911">
        <v>0</v>
      </c>
      <c r="H911" t="s">
        <v>31</v>
      </c>
      <c r="I911" t="s">
        <v>14</v>
      </c>
      <c r="J911" t="s">
        <v>15</v>
      </c>
      <c r="K911">
        <v>0</v>
      </c>
      <c r="L911" t="s">
        <v>26</v>
      </c>
      <c r="M911" t="s">
        <v>32</v>
      </c>
      <c r="N911">
        <v>39</v>
      </c>
      <c r="O911" t="s">
        <v>15</v>
      </c>
    </row>
    <row r="912" spans="1:15" x14ac:dyDescent="0.2">
      <c r="A912">
        <v>13934</v>
      </c>
      <c r="B912" t="s">
        <v>34</v>
      </c>
      <c r="C912" s="16" t="str">
        <f t="shared" si="28"/>
        <v>Married</v>
      </c>
      <c r="D912" t="s">
        <v>34</v>
      </c>
      <c r="E912" s="16" t="str">
        <f t="shared" si="29"/>
        <v>Male</v>
      </c>
      <c r="F912" s="1">
        <v>40000</v>
      </c>
      <c r="G912">
        <v>4</v>
      </c>
      <c r="H912" t="s">
        <v>27</v>
      </c>
      <c r="I912" t="s">
        <v>14</v>
      </c>
      <c r="J912" t="s">
        <v>15</v>
      </c>
      <c r="K912">
        <v>2</v>
      </c>
      <c r="L912" t="s">
        <v>22</v>
      </c>
      <c r="M912" t="s">
        <v>32</v>
      </c>
      <c r="N912">
        <v>46</v>
      </c>
      <c r="O912" t="s">
        <v>18</v>
      </c>
    </row>
    <row r="913" spans="1:15" x14ac:dyDescent="0.2">
      <c r="A913">
        <v>13337</v>
      </c>
      <c r="B913" t="s">
        <v>34</v>
      </c>
      <c r="C913" s="16" t="str">
        <f t="shared" si="28"/>
        <v>Married</v>
      </c>
      <c r="D913" t="s">
        <v>33</v>
      </c>
      <c r="E913" s="16" t="str">
        <f t="shared" si="29"/>
        <v>Female</v>
      </c>
      <c r="F913" s="1">
        <v>80000</v>
      </c>
      <c r="G913">
        <v>5</v>
      </c>
      <c r="H913" t="s">
        <v>13</v>
      </c>
      <c r="I913" t="s">
        <v>28</v>
      </c>
      <c r="J913" t="s">
        <v>15</v>
      </c>
      <c r="K913">
        <v>2</v>
      </c>
      <c r="L913" t="s">
        <v>23</v>
      </c>
      <c r="M913" t="s">
        <v>32</v>
      </c>
      <c r="N913">
        <v>64</v>
      </c>
      <c r="O913" t="s">
        <v>18</v>
      </c>
    </row>
    <row r="914" spans="1:15" x14ac:dyDescent="0.2">
      <c r="A914">
        <v>27190</v>
      </c>
      <c r="B914" t="s">
        <v>34</v>
      </c>
      <c r="C914" s="16" t="str">
        <f t="shared" si="28"/>
        <v>Married</v>
      </c>
      <c r="D914" t="s">
        <v>33</v>
      </c>
      <c r="E914" s="16" t="str">
        <f t="shared" si="29"/>
        <v>Female</v>
      </c>
      <c r="F914" s="1">
        <v>40000</v>
      </c>
      <c r="G914">
        <v>3</v>
      </c>
      <c r="H914" t="s">
        <v>19</v>
      </c>
      <c r="I914" t="s">
        <v>20</v>
      </c>
      <c r="J914" t="s">
        <v>15</v>
      </c>
      <c r="K914">
        <v>1</v>
      </c>
      <c r="L914" t="s">
        <v>26</v>
      </c>
      <c r="M914" t="s">
        <v>32</v>
      </c>
      <c r="N914">
        <v>32</v>
      </c>
      <c r="O914" t="s">
        <v>18</v>
      </c>
    </row>
    <row r="915" spans="1:15" x14ac:dyDescent="0.2">
      <c r="A915">
        <v>28657</v>
      </c>
      <c r="B915" t="s">
        <v>35</v>
      </c>
      <c r="C915" s="16" t="str">
        <f t="shared" si="28"/>
        <v>Single</v>
      </c>
      <c r="D915" t="s">
        <v>34</v>
      </c>
      <c r="E915" s="16" t="str">
        <f t="shared" si="29"/>
        <v>Male</v>
      </c>
      <c r="F915" s="1">
        <v>60000</v>
      </c>
      <c r="G915">
        <v>2</v>
      </c>
      <c r="H915" t="s">
        <v>13</v>
      </c>
      <c r="I915" t="s">
        <v>14</v>
      </c>
      <c r="J915" t="s">
        <v>15</v>
      </c>
      <c r="K915">
        <v>0</v>
      </c>
      <c r="L915" t="s">
        <v>22</v>
      </c>
      <c r="M915" t="s">
        <v>32</v>
      </c>
      <c r="N915">
        <v>36</v>
      </c>
      <c r="O915" t="s">
        <v>15</v>
      </c>
    </row>
    <row r="916" spans="1:15" x14ac:dyDescent="0.2">
      <c r="A916">
        <v>21713</v>
      </c>
      <c r="B916" t="s">
        <v>35</v>
      </c>
      <c r="C916" s="16" t="str">
        <f t="shared" si="28"/>
        <v>Single</v>
      </c>
      <c r="D916" t="s">
        <v>34</v>
      </c>
      <c r="E916" s="16" t="str">
        <f t="shared" si="29"/>
        <v>Male</v>
      </c>
      <c r="F916" s="1">
        <v>80000</v>
      </c>
      <c r="G916">
        <v>5</v>
      </c>
      <c r="H916" t="s">
        <v>31</v>
      </c>
      <c r="I916" t="s">
        <v>14</v>
      </c>
      <c r="J916" t="s">
        <v>18</v>
      </c>
      <c r="K916">
        <v>0</v>
      </c>
      <c r="L916" t="s">
        <v>16</v>
      </c>
      <c r="M916" t="s">
        <v>32</v>
      </c>
      <c r="N916">
        <v>47</v>
      </c>
      <c r="O916" t="s">
        <v>18</v>
      </c>
    </row>
    <row r="917" spans="1:15" x14ac:dyDescent="0.2">
      <c r="A917">
        <v>21752</v>
      </c>
      <c r="B917" t="s">
        <v>34</v>
      </c>
      <c r="C917" s="16" t="str">
        <f t="shared" si="28"/>
        <v>Married</v>
      </c>
      <c r="D917" t="s">
        <v>34</v>
      </c>
      <c r="E917" s="16" t="str">
        <f t="shared" si="29"/>
        <v>Male</v>
      </c>
      <c r="F917" s="1">
        <v>60000</v>
      </c>
      <c r="G917">
        <v>3</v>
      </c>
      <c r="H917" t="s">
        <v>31</v>
      </c>
      <c r="I917" t="s">
        <v>28</v>
      </c>
      <c r="J917" t="s">
        <v>15</v>
      </c>
      <c r="K917">
        <v>2</v>
      </c>
      <c r="L917" t="s">
        <v>30</v>
      </c>
      <c r="M917" t="s">
        <v>32</v>
      </c>
      <c r="N917">
        <v>64</v>
      </c>
      <c r="O917" t="s">
        <v>18</v>
      </c>
    </row>
    <row r="918" spans="1:15" x14ac:dyDescent="0.2">
      <c r="A918">
        <v>27273</v>
      </c>
      <c r="B918" t="s">
        <v>35</v>
      </c>
      <c r="C918" s="16" t="str">
        <f t="shared" si="28"/>
        <v>Single</v>
      </c>
      <c r="D918" t="s">
        <v>34</v>
      </c>
      <c r="E918" s="16" t="str">
        <f t="shared" si="29"/>
        <v>Male</v>
      </c>
      <c r="F918" s="1">
        <v>70000</v>
      </c>
      <c r="G918">
        <v>3</v>
      </c>
      <c r="H918" t="s">
        <v>31</v>
      </c>
      <c r="I918" t="s">
        <v>21</v>
      </c>
      <c r="J918" t="s">
        <v>18</v>
      </c>
      <c r="K918">
        <v>0</v>
      </c>
      <c r="L918" t="s">
        <v>16</v>
      </c>
      <c r="M918" t="s">
        <v>32</v>
      </c>
      <c r="N918">
        <v>35</v>
      </c>
      <c r="O918" t="s">
        <v>15</v>
      </c>
    </row>
    <row r="919" spans="1:15" x14ac:dyDescent="0.2">
      <c r="A919">
        <v>22719</v>
      </c>
      <c r="B919" t="s">
        <v>35</v>
      </c>
      <c r="C919" s="16" t="str">
        <f t="shared" si="28"/>
        <v>Single</v>
      </c>
      <c r="D919" t="s">
        <v>34</v>
      </c>
      <c r="E919" s="16" t="str">
        <f t="shared" si="29"/>
        <v>Male</v>
      </c>
      <c r="F919" s="1">
        <v>110000</v>
      </c>
      <c r="G919">
        <v>3</v>
      </c>
      <c r="H919" t="s">
        <v>13</v>
      </c>
      <c r="I919" t="s">
        <v>28</v>
      </c>
      <c r="J919" t="s">
        <v>15</v>
      </c>
      <c r="K919">
        <v>4</v>
      </c>
      <c r="L919" t="s">
        <v>22</v>
      </c>
      <c r="M919" t="s">
        <v>32</v>
      </c>
      <c r="N919">
        <v>40</v>
      </c>
      <c r="O919" t="s">
        <v>15</v>
      </c>
    </row>
    <row r="920" spans="1:15" x14ac:dyDescent="0.2">
      <c r="A920">
        <v>22042</v>
      </c>
      <c r="B920" t="s">
        <v>34</v>
      </c>
      <c r="C920" s="16" t="str">
        <f t="shared" si="28"/>
        <v>Married</v>
      </c>
      <c r="D920" t="s">
        <v>33</v>
      </c>
      <c r="E920" s="16" t="str">
        <f t="shared" si="29"/>
        <v>Female</v>
      </c>
      <c r="F920" s="1">
        <v>70000</v>
      </c>
      <c r="G920">
        <v>0</v>
      </c>
      <c r="H920" t="s">
        <v>19</v>
      </c>
      <c r="I920" t="s">
        <v>14</v>
      </c>
      <c r="J920" t="s">
        <v>15</v>
      </c>
      <c r="K920">
        <v>2</v>
      </c>
      <c r="L920" t="s">
        <v>23</v>
      </c>
      <c r="M920" t="s">
        <v>32</v>
      </c>
      <c r="N920">
        <v>34</v>
      </c>
      <c r="O920" t="s">
        <v>15</v>
      </c>
    </row>
    <row r="921" spans="1:15" x14ac:dyDescent="0.2">
      <c r="A921">
        <v>21451</v>
      </c>
      <c r="B921" t="s">
        <v>34</v>
      </c>
      <c r="C921" s="16" t="str">
        <f t="shared" si="28"/>
        <v>Married</v>
      </c>
      <c r="D921" t="s">
        <v>33</v>
      </c>
      <c r="E921" s="16" t="str">
        <f t="shared" si="29"/>
        <v>Female</v>
      </c>
      <c r="F921" s="1">
        <v>40000</v>
      </c>
      <c r="G921">
        <v>4</v>
      </c>
      <c r="H921" t="s">
        <v>27</v>
      </c>
      <c r="I921" t="s">
        <v>21</v>
      </c>
      <c r="J921" t="s">
        <v>15</v>
      </c>
      <c r="K921">
        <v>2</v>
      </c>
      <c r="L921" t="s">
        <v>30</v>
      </c>
      <c r="M921" t="s">
        <v>32</v>
      </c>
      <c r="N921">
        <v>61</v>
      </c>
      <c r="O921" t="s">
        <v>18</v>
      </c>
    </row>
    <row r="922" spans="1:15" x14ac:dyDescent="0.2">
      <c r="A922">
        <v>20754</v>
      </c>
      <c r="B922" t="s">
        <v>34</v>
      </c>
      <c r="C922" s="16" t="str">
        <f t="shared" si="28"/>
        <v>Married</v>
      </c>
      <c r="D922" t="s">
        <v>34</v>
      </c>
      <c r="E922" s="16" t="str">
        <f t="shared" si="29"/>
        <v>Male</v>
      </c>
      <c r="F922" s="1">
        <v>30000</v>
      </c>
      <c r="G922">
        <v>2</v>
      </c>
      <c r="H922" t="s">
        <v>27</v>
      </c>
      <c r="I922" t="s">
        <v>14</v>
      </c>
      <c r="J922" t="s">
        <v>15</v>
      </c>
      <c r="K922">
        <v>2</v>
      </c>
      <c r="L922" t="s">
        <v>26</v>
      </c>
      <c r="M922" t="s">
        <v>32</v>
      </c>
      <c r="N922">
        <v>51</v>
      </c>
      <c r="O922" t="s">
        <v>18</v>
      </c>
    </row>
    <row r="923" spans="1:15" x14ac:dyDescent="0.2">
      <c r="A923">
        <v>12153</v>
      </c>
      <c r="B923" t="s">
        <v>35</v>
      </c>
      <c r="C923" s="16" t="str">
        <f t="shared" si="28"/>
        <v>Single</v>
      </c>
      <c r="D923" t="s">
        <v>33</v>
      </c>
      <c r="E923" s="16" t="str">
        <f t="shared" si="29"/>
        <v>Female</v>
      </c>
      <c r="F923" s="1">
        <v>70000</v>
      </c>
      <c r="G923">
        <v>3</v>
      </c>
      <c r="H923" t="s">
        <v>19</v>
      </c>
      <c r="I923" t="s">
        <v>21</v>
      </c>
      <c r="J923" t="s">
        <v>15</v>
      </c>
      <c r="K923">
        <v>1</v>
      </c>
      <c r="L923" t="s">
        <v>23</v>
      </c>
      <c r="M923" t="s">
        <v>32</v>
      </c>
      <c r="N923">
        <v>49</v>
      </c>
      <c r="O923" t="s">
        <v>15</v>
      </c>
    </row>
    <row r="924" spans="1:15" x14ac:dyDescent="0.2">
      <c r="A924">
        <v>16895</v>
      </c>
      <c r="B924" t="s">
        <v>34</v>
      </c>
      <c r="C924" s="16" t="str">
        <f t="shared" si="28"/>
        <v>Married</v>
      </c>
      <c r="D924" t="s">
        <v>33</v>
      </c>
      <c r="E924" s="16" t="str">
        <f t="shared" si="29"/>
        <v>Female</v>
      </c>
      <c r="F924" s="1">
        <v>40000</v>
      </c>
      <c r="G924">
        <v>3</v>
      </c>
      <c r="H924" t="s">
        <v>19</v>
      </c>
      <c r="I924" t="s">
        <v>21</v>
      </c>
      <c r="J924" t="s">
        <v>18</v>
      </c>
      <c r="K924">
        <v>2</v>
      </c>
      <c r="L924" t="s">
        <v>26</v>
      </c>
      <c r="M924" t="s">
        <v>32</v>
      </c>
      <c r="N924">
        <v>54</v>
      </c>
      <c r="O924" t="s">
        <v>15</v>
      </c>
    </row>
    <row r="925" spans="1:15" x14ac:dyDescent="0.2">
      <c r="A925">
        <v>26728</v>
      </c>
      <c r="B925" t="s">
        <v>35</v>
      </c>
      <c r="C925" s="16" t="str">
        <f t="shared" si="28"/>
        <v>Single</v>
      </c>
      <c r="D925" t="s">
        <v>34</v>
      </c>
      <c r="E925" s="16" t="str">
        <f t="shared" si="29"/>
        <v>Male</v>
      </c>
      <c r="F925" s="1">
        <v>70000</v>
      </c>
      <c r="G925">
        <v>3</v>
      </c>
      <c r="H925" t="s">
        <v>31</v>
      </c>
      <c r="I925" t="s">
        <v>28</v>
      </c>
      <c r="J925" t="s">
        <v>18</v>
      </c>
      <c r="K925">
        <v>2</v>
      </c>
      <c r="L925" t="s">
        <v>26</v>
      </c>
      <c r="M925" t="s">
        <v>32</v>
      </c>
      <c r="N925">
        <v>53</v>
      </c>
      <c r="O925" t="s">
        <v>15</v>
      </c>
    </row>
    <row r="926" spans="1:15" x14ac:dyDescent="0.2">
      <c r="A926">
        <v>11090</v>
      </c>
      <c r="B926" t="s">
        <v>35</v>
      </c>
      <c r="C926" s="16" t="str">
        <f t="shared" si="28"/>
        <v>Single</v>
      </c>
      <c r="D926" t="s">
        <v>34</v>
      </c>
      <c r="E926" s="16" t="str">
        <f t="shared" si="29"/>
        <v>Male</v>
      </c>
      <c r="F926" s="1">
        <v>90000</v>
      </c>
      <c r="G926">
        <v>2</v>
      </c>
      <c r="H926" t="s">
        <v>19</v>
      </c>
      <c r="I926" t="s">
        <v>21</v>
      </c>
      <c r="J926" t="s">
        <v>15</v>
      </c>
      <c r="K926">
        <v>1</v>
      </c>
      <c r="L926" t="s">
        <v>22</v>
      </c>
      <c r="M926" t="s">
        <v>32</v>
      </c>
      <c r="N926">
        <v>48</v>
      </c>
      <c r="O926" t="s">
        <v>15</v>
      </c>
    </row>
    <row r="927" spans="1:15" x14ac:dyDescent="0.2">
      <c r="A927">
        <v>15862</v>
      </c>
      <c r="B927" t="s">
        <v>35</v>
      </c>
      <c r="C927" s="16" t="str">
        <f t="shared" si="28"/>
        <v>Single</v>
      </c>
      <c r="D927" t="s">
        <v>33</v>
      </c>
      <c r="E927" s="16" t="str">
        <f t="shared" si="29"/>
        <v>Female</v>
      </c>
      <c r="F927" s="1">
        <v>50000</v>
      </c>
      <c r="G927">
        <v>0</v>
      </c>
      <c r="H927" t="s">
        <v>31</v>
      </c>
      <c r="I927" t="s">
        <v>14</v>
      </c>
      <c r="J927" t="s">
        <v>15</v>
      </c>
      <c r="K927">
        <v>0</v>
      </c>
      <c r="L927" t="s">
        <v>26</v>
      </c>
      <c r="M927" t="s">
        <v>32</v>
      </c>
      <c r="N927">
        <v>33</v>
      </c>
      <c r="O927" t="s">
        <v>15</v>
      </c>
    </row>
    <row r="928" spans="1:15" x14ac:dyDescent="0.2">
      <c r="A928">
        <v>26495</v>
      </c>
      <c r="B928" t="s">
        <v>35</v>
      </c>
      <c r="C928" s="16" t="str">
        <f t="shared" si="28"/>
        <v>Single</v>
      </c>
      <c r="D928" t="s">
        <v>33</v>
      </c>
      <c r="E928" s="16" t="str">
        <f t="shared" si="29"/>
        <v>Female</v>
      </c>
      <c r="F928" s="1">
        <v>40000</v>
      </c>
      <c r="G928">
        <v>2</v>
      </c>
      <c r="H928" t="s">
        <v>27</v>
      </c>
      <c r="I928" t="s">
        <v>21</v>
      </c>
      <c r="J928" t="s">
        <v>15</v>
      </c>
      <c r="K928">
        <v>2</v>
      </c>
      <c r="L928" t="s">
        <v>30</v>
      </c>
      <c r="M928" t="s">
        <v>32</v>
      </c>
      <c r="N928">
        <v>57</v>
      </c>
      <c r="O928" t="s">
        <v>18</v>
      </c>
    </row>
    <row r="929" spans="1:15" x14ac:dyDescent="0.2">
      <c r="A929">
        <v>11823</v>
      </c>
      <c r="B929" t="s">
        <v>34</v>
      </c>
      <c r="C929" s="16" t="str">
        <f t="shared" si="28"/>
        <v>Married</v>
      </c>
      <c r="D929" t="s">
        <v>33</v>
      </c>
      <c r="E929" s="16" t="str">
        <f t="shared" si="29"/>
        <v>Female</v>
      </c>
      <c r="F929" s="1">
        <v>70000</v>
      </c>
      <c r="G929">
        <v>0</v>
      </c>
      <c r="H929" t="s">
        <v>31</v>
      </c>
      <c r="I929" t="s">
        <v>21</v>
      </c>
      <c r="J929" t="s">
        <v>15</v>
      </c>
      <c r="K929">
        <v>0</v>
      </c>
      <c r="L929" t="s">
        <v>22</v>
      </c>
      <c r="M929" t="s">
        <v>32</v>
      </c>
      <c r="N929">
        <v>39</v>
      </c>
      <c r="O929" t="s">
        <v>18</v>
      </c>
    </row>
    <row r="930" spans="1:15" x14ac:dyDescent="0.2">
      <c r="A930">
        <v>23449</v>
      </c>
      <c r="B930" t="s">
        <v>34</v>
      </c>
      <c r="C930" s="16" t="str">
        <f t="shared" si="28"/>
        <v>Married</v>
      </c>
      <c r="D930" t="s">
        <v>34</v>
      </c>
      <c r="E930" s="16" t="str">
        <f t="shared" si="29"/>
        <v>Male</v>
      </c>
      <c r="F930" s="1">
        <v>60000</v>
      </c>
      <c r="G930">
        <v>2</v>
      </c>
      <c r="H930" t="s">
        <v>27</v>
      </c>
      <c r="I930" t="s">
        <v>21</v>
      </c>
      <c r="J930" t="s">
        <v>15</v>
      </c>
      <c r="K930">
        <v>2</v>
      </c>
      <c r="L930" t="s">
        <v>23</v>
      </c>
      <c r="M930" t="s">
        <v>32</v>
      </c>
      <c r="N930">
        <v>48</v>
      </c>
      <c r="O930" t="s">
        <v>18</v>
      </c>
    </row>
    <row r="931" spans="1:15" x14ac:dyDescent="0.2">
      <c r="A931">
        <v>23459</v>
      </c>
      <c r="B931" t="s">
        <v>34</v>
      </c>
      <c r="C931" s="16" t="str">
        <f t="shared" si="28"/>
        <v>Married</v>
      </c>
      <c r="D931" t="s">
        <v>34</v>
      </c>
      <c r="E931" s="16" t="str">
        <f t="shared" si="29"/>
        <v>Male</v>
      </c>
      <c r="F931" s="1">
        <v>60000</v>
      </c>
      <c r="G931">
        <v>2</v>
      </c>
      <c r="H931" t="s">
        <v>27</v>
      </c>
      <c r="I931" t="s">
        <v>21</v>
      </c>
      <c r="J931" t="s">
        <v>15</v>
      </c>
      <c r="K931">
        <v>2</v>
      </c>
      <c r="L931" t="s">
        <v>23</v>
      </c>
      <c r="M931" t="s">
        <v>32</v>
      </c>
      <c r="N931">
        <v>50</v>
      </c>
      <c r="O931" t="s">
        <v>18</v>
      </c>
    </row>
    <row r="932" spans="1:15" x14ac:dyDescent="0.2">
      <c r="A932">
        <v>19543</v>
      </c>
      <c r="B932" t="s">
        <v>34</v>
      </c>
      <c r="C932" s="16" t="str">
        <f t="shared" si="28"/>
        <v>Married</v>
      </c>
      <c r="D932" t="s">
        <v>34</v>
      </c>
      <c r="E932" s="16" t="str">
        <f t="shared" si="29"/>
        <v>Male</v>
      </c>
      <c r="F932" s="1">
        <v>70000</v>
      </c>
      <c r="G932">
        <v>5</v>
      </c>
      <c r="H932" t="s">
        <v>31</v>
      </c>
      <c r="I932" t="s">
        <v>21</v>
      </c>
      <c r="J932" t="s">
        <v>18</v>
      </c>
      <c r="K932">
        <v>3</v>
      </c>
      <c r="L932" t="s">
        <v>30</v>
      </c>
      <c r="M932" t="s">
        <v>32</v>
      </c>
      <c r="N932">
        <v>47</v>
      </c>
      <c r="O932" t="s">
        <v>18</v>
      </c>
    </row>
    <row r="933" spans="1:15" x14ac:dyDescent="0.2">
      <c r="A933">
        <v>14914</v>
      </c>
      <c r="B933" t="s">
        <v>34</v>
      </c>
      <c r="C933" s="16" t="str">
        <f t="shared" si="28"/>
        <v>Married</v>
      </c>
      <c r="D933" t="s">
        <v>33</v>
      </c>
      <c r="E933" s="16" t="str">
        <f t="shared" si="29"/>
        <v>Female</v>
      </c>
      <c r="F933" s="1">
        <v>40000</v>
      </c>
      <c r="G933">
        <v>1</v>
      </c>
      <c r="H933" t="s">
        <v>19</v>
      </c>
      <c r="I933" t="s">
        <v>20</v>
      </c>
      <c r="J933" t="s">
        <v>15</v>
      </c>
      <c r="K933">
        <v>1</v>
      </c>
      <c r="L933" t="s">
        <v>26</v>
      </c>
      <c r="M933" t="s">
        <v>32</v>
      </c>
      <c r="N933">
        <v>49</v>
      </c>
      <c r="O933" t="s">
        <v>15</v>
      </c>
    </row>
    <row r="934" spans="1:15" x14ac:dyDescent="0.2">
      <c r="A934">
        <v>12033</v>
      </c>
      <c r="B934" t="s">
        <v>35</v>
      </c>
      <c r="C934" s="16" t="str">
        <f t="shared" si="28"/>
        <v>Single</v>
      </c>
      <c r="D934" t="s">
        <v>33</v>
      </c>
      <c r="E934" s="16" t="str">
        <f t="shared" si="29"/>
        <v>Female</v>
      </c>
      <c r="F934" s="1">
        <v>40000</v>
      </c>
      <c r="G934">
        <v>0</v>
      </c>
      <c r="H934" t="s">
        <v>27</v>
      </c>
      <c r="I934" t="s">
        <v>14</v>
      </c>
      <c r="J934" t="s">
        <v>18</v>
      </c>
      <c r="K934">
        <v>2</v>
      </c>
      <c r="L934" t="s">
        <v>16</v>
      </c>
      <c r="M934" t="s">
        <v>32</v>
      </c>
      <c r="N934">
        <v>27</v>
      </c>
      <c r="O934" t="s">
        <v>15</v>
      </c>
    </row>
    <row r="935" spans="1:15" x14ac:dyDescent="0.2">
      <c r="A935">
        <v>11941</v>
      </c>
      <c r="B935" t="s">
        <v>35</v>
      </c>
      <c r="C935" s="16" t="str">
        <f t="shared" si="28"/>
        <v>Single</v>
      </c>
      <c r="D935" t="s">
        <v>34</v>
      </c>
      <c r="E935" s="16" t="str">
        <f t="shared" si="29"/>
        <v>Male</v>
      </c>
      <c r="F935" s="1">
        <v>60000</v>
      </c>
      <c r="G935">
        <v>0</v>
      </c>
      <c r="H935" t="s">
        <v>19</v>
      </c>
      <c r="I935" t="s">
        <v>14</v>
      </c>
      <c r="J935" t="s">
        <v>15</v>
      </c>
      <c r="K935">
        <v>0</v>
      </c>
      <c r="L935" t="s">
        <v>23</v>
      </c>
      <c r="M935" t="s">
        <v>32</v>
      </c>
      <c r="N935">
        <v>29</v>
      </c>
      <c r="O935" t="s">
        <v>18</v>
      </c>
    </row>
    <row r="936" spans="1:15" x14ac:dyDescent="0.2">
      <c r="A936">
        <v>14389</v>
      </c>
      <c r="B936" t="s">
        <v>34</v>
      </c>
      <c r="C936" s="16" t="str">
        <f t="shared" si="28"/>
        <v>Married</v>
      </c>
      <c r="D936" t="s">
        <v>34</v>
      </c>
      <c r="E936" s="16" t="str">
        <f t="shared" si="29"/>
        <v>Male</v>
      </c>
      <c r="F936" s="1">
        <v>60000</v>
      </c>
      <c r="G936">
        <v>2</v>
      </c>
      <c r="H936" t="s">
        <v>13</v>
      </c>
      <c r="I936" t="s">
        <v>28</v>
      </c>
      <c r="J936" t="s">
        <v>15</v>
      </c>
      <c r="K936">
        <v>0</v>
      </c>
      <c r="L936" t="s">
        <v>22</v>
      </c>
      <c r="M936" t="s">
        <v>32</v>
      </c>
      <c r="N936">
        <v>59</v>
      </c>
      <c r="O936" t="s">
        <v>18</v>
      </c>
    </row>
    <row r="937" spans="1:15" x14ac:dyDescent="0.2">
      <c r="A937">
        <v>18050</v>
      </c>
      <c r="B937" t="s">
        <v>34</v>
      </c>
      <c r="C937" s="16" t="str">
        <f t="shared" si="28"/>
        <v>Married</v>
      </c>
      <c r="D937" t="s">
        <v>33</v>
      </c>
      <c r="E937" s="16" t="str">
        <f t="shared" si="29"/>
        <v>Female</v>
      </c>
      <c r="F937" s="1">
        <v>60000</v>
      </c>
      <c r="G937">
        <v>1</v>
      </c>
      <c r="H937" t="s">
        <v>19</v>
      </c>
      <c r="I937" t="s">
        <v>14</v>
      </c>
      <c r="J937" t="s">
        <v>15</v>
      </c>
      <c r="K937">
        <v>1</v>
      </c>
      <c r="L937" t="s">
        <v>16</v>
      </c>
      <c r="M937" t="s">
        <v>32</v>
      </c>
      <c r="N937">
        <v>45</v>
      </c>
      <c r="O937" t="s">
        <v>15</v>
      </c>
    </row>
    <row r="938" spans="1:15" x14ac:dyDescent="0.2">
      <c r="A938">
        <v>19856</v>
      </c>
      <c r="B938" t="s">
        <v>34</v>
      </c>
      <c r="C938" s="16" t="str">
        <f t="shared" si="28"/>
        <v>Married</v>
      </c>
      <c r="D938" t="s">
        <v>33</v>
      </c>
      <c r="E938" s="16" t="str">
        <f t="shared" si="29"/>
        <v>Female</v>
      </c>
      <c r="F938" s="1">
        <v>60000</v>
      </c>
      <c r="G938">
        <v>4</v>
      </c>
      <c r="H938" t="s">
        <v>13</v>
      </c>
      <c r="I938" t="s">
        <v>28</v>
      </c>
      <c r="J938" t="s">
        <v>15</v>
      </c>
      <c r="K938">
        <v>2</v>
      </c>
      <c r="L938" t="s">
        <v>22</v>
      </c>
      <c r="M938" t="s">
        <v>32</v>
      </c>
      <c r="N938">
        <v>60</v>
      </c>
      <c r="O938" t="s">
        <v>18</v>
      </c>
    </row>
    <row r="939" spans="1:15" x14ac:dyDescent="0.2">
      <c r="A939">
        <v>11663</v>
      </c>
      <c r="B939" t="s">
        <v>34</v>
      </c>
      <c r="C939" s="16" t="str">
        <f t="shared" si="28"/>
        <v>Married</v>
      </c>
      <c r="D939" t="s">
        <v>34</v>
      </c>
      <c r="E939" s="16" t="str">
        <f t="shared" si="29"/>
        <v>Male</v>
      </c>
      <c r="F939" s="1">
        <v>70000</v>
      </c>
      <c r="G939">
        <v>4</v>
      </c>
      <c r="H939" t="s">
        <v>31</v>
      </c>
      <c r="I939" t="s">
        <v>21</v>
      </c>
      <c r="J939" t="s">
        <v>15</v>
      </c>
      <c r="K939">
        <v>0</v>
      </c>
      <c r="L939" t="s">
        <v>16</v>
      </c>
      <c r="M939" t="s">
        <v>32</v>
      </c>
      <c r="N939">
        <v>36</v>
      </c>
      <c r="O939" t="s">
        <v>15</v>
      </c>
    </row>
    <row r="940" spans="1:15" x14ac:dyDescent="0.2">
      <c r="A940">
        <v>27740</v>
      </c>
      <c r="B940" t="s">
        <v>34</v>
      </c>
      <c r="C940" s="16" t="str">
        <f t="shared" si="28"/>
        <v>Married</v>
      </c>
      <c r="D940" t="s">
        <v>33</v>
      </c>
      <c r="E940" s="16" t="str">
        <f t="shared" si="29"/>
        <v>Female</v>
      </c>
      <c r="F940" s="1">
        <v>40000</v>
      </c>
      <c r="G940">
        <v>0</v>
      </c>
      <c r="H940" t="s">
        <v>27</v>
      </c>
      <c r="I940" t="s">
        <v>14</v>
      </c>
      <c r="J940" t="s">
        <v>15</v>
      </c>
      <c r="K940">
        <v>2</v>
      </c>
      <c r="L940" t="s">
        <v>23</v>
      </c>
      <c r="M940" t="s">
        <v>32</v>
      </c>
      <c r="N940">
        <v>27</v>
      </c>
      <c r="O940" t="s">
        <v>18</v>
      </c>
    </row>
    <row r="941" spans="1:15" x14ac:dyDescent="0.2">
      <c r="A941">
        <v>23455</v>
      </c>
      <c r="B941" t="s">
        <v>35</v>
      </c>
      <c r="C941" s="16" t="str">
        <f t="shared" si="28"/>
        <v>Single</v>
      </c>
      <c r="D941" t="s">
        <v>34</v>
      </c>
      <c r="E941" s="16" t="str">
        <f t="shared" si="29"/>
        <v>Male</v>
      </c>
      <c r="F941" s="1">
        <v>80000</v>
      </c>
      <c r="G941">
        <v>2</v>
      </c>
      <c r="H941" t="s">
        <v>29</v>
      </c>
      <c r="I941" t="s">
        <v>14</v>
      </c>
      <c r="J941" t="s">
        <v>18</v>
      </c>
      <c r="K941">
        <v>2</v>
      </c>
      <c r="L941" t="s">
        <v>26</v>
      </c>
      <c r="M941" t="s">
        <v>32</v>
      </c>
      <c r="N941">
        <v>50</v>
      </c>
      <c r="O941" t="s">
        <v>18</v>
      </c>
    </row>
    <row r="942" spans="1:15" x14ac:dyDescent="0.2">
      <c r="A942">
        <v>15292</v>
      </c>
      <c r="B942" t="s">
        <v>35</v>
      </c>
      <c r="C942" s="16" t="str">
        <f t="shared" si="28"/>
        <v>Single</v>
      </c>
      <c r="D942" t="s">
        <v>33</v>
      </c>
      <c r="E942" s="16" t="str">
        <f t="shared" si="29"/>
        <v>Female</v>
      </c>
      <c r="F942" s="1">
        <v>60000</v>
      </c>
      <c r="G942">
        <v>1</v>
      </c>
      <c r="H942" t="s">
        <v>31</v>
      </c>
      <c r="I942" t="s">
        <v>14</v>
      </c>
      <c r="J942" t="s">
        <v>15</v>
      </c>
      <c r="K942">
        <v>0</v>
      </c>
      <c r="L942" t="s">
        <v>26</v>
      </c>
      <c r="M942" t="s">
        <v>32</v>
      </c>
      <c r="N942">
        <v>35</v>
      </c>
      <c r="O942" t="s">
        <v>18</v>
      </c>
    </row>
    <row r="943" spans="1:15" x14ac:dyDescent="0.2">
      <c r="A943">
        <v>21587</v>
      </c>
      <c r="B943" t="s">
        <v>34</v>
      </c>
      <c r="C943" s="16" t="str">
        <f t="shared" si="28"/>
        <v>Married</v>
      </c>
      <c r="D943" t="s">
        <v>33</v>
      </c>
      <c r="E943" s="16" t="str">
        <f t="shared" si="29"/>
        <v>Female</v>
      </c>
      <c r="F943" s="1">
        <v>60000</v>
      </c>
      <c r="G943">
        <v>1</v>
      </c>
      <c r="H943" t="s">
        <v>31</v>
      </c>
      <c r="I943" t="s">
        <v>14</v>
      </c>
      <c r="J943" t="s">
        <v>15</v>
      </c>
      <c r="K943">
        <v>0</v>
      </c>
      <c r="L943" t="s">
        <v>22</v>
      </c>
      <c r="M943" t="s">
        <v>32</v>
      </c>
      <c r="N943">
        <v>34</v>
      </c>
      <c r="O943" t="s">
        <v>15</v>
      </c>
    </row>
    <row r="944" spans="1:15" x14ac:dyDescent="0.2">
      <c r="A944">
        <v>23513</v>
      </c>
      <c r="B944" t="s">
        <v>34</v>
      </c>
      <c r="C944" s="16" t="str">
        <f t="shared" si="28"/>
        <v>Married</v>
      </c>
      <c r="D944" t="s">
        <v>33</v>
      </c>
      <c r="E944" s="16" t="str">
        <f t="shared" si="29"/>
        <v>Female</v>
      </c>
      <c r="F944" s="1">
        <v>40000</v>
      </c>
      <c r="G944">
        <v>3</v>
      </c>
      <c r="H944" t="s">
        <v>19</v>
      </c>
      <c r="I944" t="s">
        <v>21</v>
      </c>
      <c r="J944" t="s">
        <v>15</v>
      </c>
      <c r="K944">
        <v>2</v>
      </c>
      <c r="L944" t="s">
        <v>23</v>
      </c>
      <c r="M944" t="s">
        <v>32</v>
      </c>
      <c r="N944">
        <v>54</v>
      </c>
      <c r="O944" t="s">
        <v>18</v>
      </c>
    </row>
    <row r="945" spans="1:15" x14ac:dyDescent="0.2">
      <c r="A945">
        <v>24322</v>
      </c>
      <c r="B945" t="s">
        <v>34</v>
      </c>
      <c r="C945" s="16" t="str">
        <f t="shared" si="28"/>
        <v>Married</v>
      </c>
      <c r="D945" t="s">
        <v>33</v>
      </c>
      <c r="E945" s="16" t="str">
        <f t="shared" si="29"/>
        <v>Female</v>
      </c>
      <c r="F945" s="1">
        <v>60000</v>
      </c>
      <c r="G945">
        <v>4</v>
      </c>
      <c r="H945" t="s">
        <v>13</v>
      </c>
      <c r="I945" t="s">
        <v>14</v>
      </c>
      <c r="J945" t="s">
        <v>18</v>
      </c>
      <c r="K945">
        <v>2</v>
      </c>
      <c r="L945" t="s">
        <v>16</v>
      </c>
      <c r="M945" t="s">
        <v>32</v>
      </c>
      <c r="N945">
        <v>42</v>
      </c>
      <c r="O945" t="s">
        <v>18</v>
      </c>
    </row>
    <row r="946" spans="1:15" x14ac:dyDescent="0.2">
      <c r="A946">
        <v>26298</v>
      </c>
      <c r="B946" t="s">
        <v>34</v>
      </c>
      <c r="C946" s="16" t="str">
        <f t="shared" si="28"/>
        <v>Married</v>
      </c>
      <c r="D946" t="s">
        <v>33</v>
      </c>
      <c r="E946" s="16" t="str">
        <f t="shared" si="29"/>
        <v>Female</v>
      </c>
      <c r="F946" s="1">
        <v>50000</v>
      </c>
      <c r="G946">
        <v>1</v>
      </c>
      <c r="H946" t="s">
        <v>13</v>
      </c>
      <c r="I946" t="s">
        <v>14</v>
      </c>
      <c r="J946" t="s">
        <v>15</v>
      </c>
      <c r="K946">
        <v>0</v>
      </c>
      <c r="L946" t="s">
        <v>22</v>
      </c>
      <c r="M946" t="s">
        <v>32</v>
      </c>
      <c r="N946">
        <v>34</v>
      </c>
      <c r="O946" t="s">
        <v>15</v>
      </c>
    </row>
    <row r="947" spans="1:15" x14ac:dyDescent="0.2">
      <c r="A947">
        <v>25419</v>
      </c>
      <c r="B947" t="s">
        <v>35</v>
      </c>
      <c r="C947" s="16" t="str">
        <f t="shared" si="28"/>
        <v>Single</v>
      </c>
      <c r="D947" t="s">
        <v>34</v>
      </c>
      <c r="E947" s="16" t="str">
        <f t="shared" si="29"/>
        <v>Male</v>
      </c>
      <c r="F947" s="1">
        <v>50000</v>
      </c>
      <c r="G947">
        <v>2</v>
      </c>
      <c r="H947" t="s">
        <v>13</v>
      </c>
      <c r="I947" t="s">
        <v>14</v>
      </c>
      <c r="J947" t="s">
        <v>18</v>
      </c>
      <c r="K947">
        <v>1</v>
      </c>
      <c r="L947" t="s">
        <v>16</v>
      </c>
      <c r="M947" t="s">
        <v>32</v>
      </c>
      <c r="N947">
        <v>38</v>
      </c>
      <c r="O947" t="s">
        <v>15</v>
      </c>
    </row>
    <row r="948" spans="1:15" x14ac:dyDescent="0.2">
      <c r="A948">
        <v>13343</v>
      </c>
      <c r="B948" t="s">
        <v>34</v>
      </c>
      <c r="C948" s="16" t="str">
        <f t="shared" si="28"/>
        <v>Married</v>
      </c>
      <c r="D948" t="s">
        <v>33</v>
      </c>
      <c r="E948" s="16" t="str">
        <f t="shared" si="29"/>
        <v>Female</v>
      </c>
      <c r="F948" s="1">
        <v>90000</v>
      </c>
      <c r="G948">
        <v>5</v>
      </c>
      <c r="H948" t="s">
        <v>13</v>
      </c>
      <c r="I948" t="s">
        <v>28</v>
      </c>
      <c r="J948" t="s">
        <v>15</v>
      </c>
      <c r="K948">
        <v>2</v>
      </c>
      <c r="L948" t="s">
        <v>26</v>
      </c>
      <c r="M948" t="s">
        <v>32</v>
      </c>
      <c r="N948">
        <v>63</v>
      </c>
      <c r="O948" t="s">
        <v>15</v>
      </c>
    </row>
    <row r="949" spans="1:15" x14ac:dyDescent="0.2">
      <c r="A949">
        <v>11303</v>
      </c>
      <c r="B949" t="s">
        <v>35</v>
      </c>
      <c r="C949" s="16" t="str">
        <f t="shared" si="28"/>
        <v>Single</v>
      </c>
      <c r="D949" t="s">
        <v>33</v>
      </c>
      <c r="E949" s="16" t="str">
        <f t="shared" si="29"/>
        <v>Female</v>
      </c>
      <c r="F949" s="1">
        <v>90000</v>
      </c>
      <c r="G949">
        <v>4</v>
      </c>
      <c r="H949" t="s">
        <v>27</v>
      </c>
      <c r="I949" t="s">
        <v>21</v>
      </c>
      <c r="J949" t="s">
        <v>18</v>
      </c>
      <c r="K949">
        <v>3</v>
      </c>
      <c r="L949" t="s">
        <v>26</v>
      </c>
      <c r="M949" t="s">
        <v>32</v>
      </c>
      <c r="N949">
        <v>45</v>
      </c>
      <c r="O949" t="s">
        <v>15</v>
      </c>
    </row>
    <row r="950" spans="1:15" x14ac:dyDescent="0.2">
      <c r="A950">
        <v>21693</v>
      </c>
      <c r="B950" t="s">
        <v>35</v>
      </c>
      <c r="C950" s="16" t="str">
        <f t="shared" si="28"/>
        <v>Single</v>
      </c>
      <c r="D950" t="s">
        <v>33</v>
      </c>
      <c r="E950" s="16" t="str">
        <f t="shared" si="29"/>
        <v>Female</v>
      </c>
      <c r="F950" s="1">
        <v>60000</v>
      </c>
      <c r="G950">
        <v>0</v>
      </c>
      <c r="H950" t="s">
        <v>31</v>
      </c>
      <c r="I950" t="s">
        <v>14</v>
      </c>
      <c r="J950" t="s">
        <v>18</v>
      </c>
      <c r="K950">
        <v>0</v>
      </c>
      <c r="L950" t="s">
        <v>16</v>
      </c>
      <c r="M950" t="s">
        <v>32</v>
      </c>
      <c r="N950">
        <v>40</v>
      </c>
      <c r="O950" t="s">
        <v>18</v>
      </c>
    </row>
    <row r="951" spans="1:15" x14ac:dyDescent="0.2">
      <c r="A951">
        <v>28056</v>
      </c>
      <c r="B951" t="s">
        <v>34</v>
      </c>
      <c r="C951" s="16" t="str">
        <f t="shared" si="28"/>
        <v>Married</v>
      </c>
      <c r="D951" t="s">
        <v>34</v>
      </c>
      <c r="E951" s="16" t="str">
        <f t="shared" si="29"/>
        <v>Male</v>
      </c>
      <c r="F951" s="1">
        <v>70000</v>
      </c>
      <c r="G951">
        <v>2</v>
      </c>
      <c r="H951" t="s">
        <v>29</v>
      </c>
      <c r="I951" t="s">
        <v>14</v>
      </c>
      <c r="J951" t="s">
        <v>15</v>
      </c>
      <c r="K951">
        <v>2</v>
      </c>
      <c r="L951" t="s">
        <v>30</v>
      </c>
      <c r="M951" t="s">
        <v>32</v>
      </c>
      <c r="N951">
        <v>53</v>
      </c>
      <c r="O951" t="s">
        <v>18</v>
      </c>
    </row>
    <row r="952" spans="1:15" x14ac:dyDescent="0.2">
      <c r="A952">
        <v>11788</v>
      </c>
      <c r="B952" t="s">
        <v>35</v>
      </c>
      <c r="C952" s="16" t="str">
        <f t="shared" si="28"/>
        <v>Single</v>
      </c>
      <c r="D952" t="s">
        <v>33</v>
      </c>
      <c r="E952" s="16" t="str">
        <f t="shared" si="29"/>
        <v>Female</v>
      </c>
      <c r="F952" s="1">
        <v>70000</v>
      </c>
      <c r="G952">
        <v>1</v>
      </c>
      <c r="H952" t="s">
        <v>31</v>
      </c>
      <c r="I952" t="s">
        <v>21</v>
      </c>
      <c r="J952" t="s">
        <v>15</v>
      </c>
      <c r="K952">
        <v>0</v>
      </c>
      <c r="L952" t="s">
        <v>22</v>
      </c>
      <c r="M952" t="s">
        <v>32</v>
      </c>
      <c r="N952">
        <v>34</v>
      </c>
      <c r="O952" t="s">
        <v>18</v>
      </c>
    </row>
    <row r="953" spans="1:15" x14ac:dyDescent="0.2">
      <c r="A953">
        <v>22296</v>
      </c>
      <c r="B953" t="s">
        <v>34</v>
      </c>
      <c r="C953" s="16" t="str">
        <f t="shared" si="28"/>
        <v>Married</v>
      </c>
      <c r="D953" t="s">
        <v>34</v>
      </c>
      <c r="E953" s="16" t="str">
        <f t="shared" si="29"/>
        <v>Male</v>
      </c>
      <c r="F953" s="1">
        <v>70000</v>
      </c>
      <c r="G953">
        <v>0</v>
      </c>
      <c r="H953" t="s">
        <v>13</v>
      </c>
      <c r="I953" t="s">
        <v>21</v>
      </c>
      <c r="J953" t="s">
        <v>18</v>
      </c>
      <c r="K953">
        <v>1</v>
      </c>
      <c r="L953" t="s">
        <v>16</v>
      </c>
      <c r="M953" t="s">
        <v>32</v>
      </c>
      <c r="N953">
        <v>38</v>
      </c>
      <c r="O953" t="s">
        <v>18</v>
      </c>
    </row>
    <row r="954" spans="1:15" x14ac:dyDescent="0.2">
      <c r="A954">
        <v>15319</v>
      </c>
      <c r="B954" t="s">
        <v>34</v>
      </c>
      <c r="C954" s="16" t="str">
        <f t="shared" si="28"/>
        <v>Married</v>
      </c>
      <c r="D954" t="s">
        <v>33</v>
      </c>
      <c r="E954" s="16" t="str">
        <f t="shared" si="29"/>
        <v>Female</v>
      </c>
      <c r="F954" s="1">
        <v>70000</v>
      </c>
      <c r="G954">
        <v>4</v>
      </c>
      <c r="H954" t="s">
        <v>13</v>
      </c>
      <c r="I954" t="s">
        <v>28</v>
      </c>
      <c r="J954" t="s">
        <v>18</v>
      </c>
      <c r="K954">
        <v>1</v>
      </c>
      <c r="L954" t="s">
        <v>26</v>
      </c>
      <c r="M954" t="s">
        <v>32</v>
      </c>
      <c r="N954">
        <v>59</v>
      </c>
      <c r="O954" t="s">
        <v>18</v>
      </c>
    </row>
    <row r="955" spans="1:15" x14ac:dyDescent="0.2">
      <c r="A955">
        <v>17654</v>
      </c>
      <c r="B955" t="s">
        <v>35</v>
      </c>
      <c r="C955" s="16" t="str">
        <f t="shared" si="28"/>
        <v>Single</v>
      </c>
      <c r="D955" t="s">
        <v>33</v>
      </c>
      <c r="E955" s="16" t="str">
        <f t="shared" si="29"/>
        <v>Female</v>
      </c>
      <c r="F955" s="1">
        <v>40000</v>
      </c>
      <c r="G955">
        <v>3</v>
      </c>
      <c r="H955" t="s">
        <v>19</v>
      </c>
      <c r="I955" t="s">
        <v>20</v>
      </c>
      <c r="J955" t="s">
        <v>15</v>
      </c>
      <c r="K955">
        <v>1</v>
      </c>
      <c r="L955" t="s">
        <v>26</v>
      </c>
      <c r="M955" t="s">
        <v>32</v>
      </c>
      <c r="N955">
        <v>30</v>
      </c>
      <c r="O955" t="s">
        <v>15</v>
      </c>
    </row>
    <row r="956" spans="1:15" x14ac:dyDescent="0.2">
      <c r="A956">
        <v>14662</v>
      </c>
      <c r="B956" t="s">
        <v>34</v>
      </c>
      <c r="C956" s="16" t="str">
        <f t="shared" si="28"/>
        <v>Married</v>
      </c>
      <c r="D956" t="s">
        <v>34</v>
      </c>
      <c r="E956" s="16" t="str">
        <f t="shared" si="29"/>
        <v>Male</v>
      </c>
      <c r="F956" s="1">
        <v>60000</v>
      </c>
      <c r="G956">
        <v>1</v>
      </c>
      <c r="H956" t="s">
        <v>13</v>
      </c>
      <c r="I956" t="s">
        <v>21</v>
      </c>
      <c r="J956" t="s">
        <v>15</v>
      </c>
      <c r="K956">
        <v>1</v>
      </c>
      <c r="L956" t="s">
        <v>16</v>
      </c>
      <c r="M956" t="s">
        <v>32</v>
      </c>
      <c r="N956">
        <v>48</v>
      </c>
      <c r="O956" t="s">
        <v>15</v>
      </c>
    </row>
    <row r="957" spans="1:15" x14ac:dyDescent="0.2">
      <c r="A957">
        <v>17541</v>
      </c>
      <c r="B957" t="s">
        <v>34</v>
      </c>
      <c r="C957" s="16" t="str">
        <f t="shared" si="28"/>
        <v>Married</v>
      </c>
      <c r="D957" t="s">
        <v>33</v>
      </c>
      <c r="E957" s="16" t="str">
        <f t="shared" si="29"/>
        <v>Female</v>
      </c>
      <c r="F957" s="1">
        <v>40000</v>
      </c>
      <c r="G957">
        <v>4</v>
      </c>
      <c r="H957" t="s">
        <v>27</v>
      </c>
      <c r="I957" t="s">
        <v>14</v>
      </c>
      <c r="J957" t="s">
        <v>15</v>
      </c>
      <c r="K957">
        <v>2</v>
      </c>
      <c r="L957" t="s">
        <v>22</v>
      </c>
      <c r="M957" t="s">
        <v>32</v>
      </c>
      <c r="N957">
        <v>43</v>
      </c>
      <c r="O957" t="s">
        <v>18</v>
      </c>
    </row>
    <row r="958" spans="1:15" x14ac:dyDescent="0.2">
      <c r="A958">
        <v>13886</v>
      </c>
      <c r="B958" t="s">
        <v>34</v>
      </c>
      <c r="C958" s="16" t="str">
        <f t="shared" si="28"/>
        <v>Married</v>
      </c>
      <c r="D958" t="s">
        <v>33</v>
      </c>
      <c r="E958" s="16" t="str">
        <f t="shared" si="29"/>
        <v>Female</v>
      </c>
      <c r="F958" s="1">
        <v>70000</v>
      </c>
      <c r="G958">
        <v>4</v>
      </c>
      <c r="H958" t="s">
        <v>31</v>
      </c>
      <c r="I958" t="s">
        <v>21</v>
      </c>
      <c r="J958" t="s">
        <v>15</v>
      </c>
      <c r="K958">
        <v>0</v>
      </c>
      <c r="L958" t="s">
        <v>22</v>
      </c>
      <c r="M958" t="s">
        <v>32</v>
      </c>
      <c r="N958">
        <v>35</v>
      </c>
      <c r="O958" t="s">
        <v>15</v>
      </c>
    </row>
    <row r="959" spans="1:15" x14ac:dyDescent="0.2">
      <c r="A959">
        <v>13073</v>
      </c>
      <c r="B959" t="s">
        <v>34</v>
      </c>
      <c r="C959" s="16" t="str">
        <f t="shared" si="28"/>
        <v>Married</v>
      </c>
      <c r="D959" t="s">
        <v>33</v>
      </c>
      <c r="E959" s="16" t="str">
        <f t="shared" si="29"/>
        <v>Female</v>
      </c>
      <c r="F959" s="1">
        <v>60000</v>
      </c>
      <c r="G959">
        <v>0</v>
      </c>
      <c r="H959" t="s">
        <v>19</v>
      </c>
      <c r="I959" t="s">
        <v>21</v>
      </c>
      <c r="J959" t="s">
        <v>15</v>
      </c>
      <c r="K959">
        <v>2</v>
      </c>
      <c r="L959" t="s">
        <v>23</v>
      </c>
      <c r="M959" t="s">
        <v>32</v>
      </c>
      <c r="N959">
        <v>30</v>
      </c>
      <c r="O959" t="s">
        <v>18</v>
      </c>
    </row>
    <row r="960" spans="1:15" x14ac:dyDescent="0.2">
      <c r="A960">
        <v>21940</v>
      </c>
      <c r="B960" t="s">
        <v>34</v>
      </c>
      <c r="C960" s="16" t="str">
        <f t="shared" si="28"/>
        <v>Married</v>
      </c>
      <c r="D960" t="s">
        <v>34</v>
      </c>
      <c r="E960" s="16" t="str">
        <f t="shared" si="29"/>
        <v>Male</v>
      </c>
      <c r="F960" s="1">
        <v>90000</v>
      </c>
      <c r="G960">
        <v>5</v>
      </c>
      <c r="H960" t="s">
        <v>31</v>
      </c>
      <c r="I960" t="s">
        <v>21</v>
      </c>
      <c r="J960" t="s">
        <v>15</v>
      </c>
      <c r="K960">
        <v>0</v>
      </c>
      <c r="L960" t="s">
        <v>16</v>
      </c>
      <c r="M960" t="s">
        <v>32</v>
      </c>
      <c r="N960">
        <v>47</v>
      </c>
      <c r="O960" t="s">
        <v>15</v>
      </c>
    </row>
    <row r="961" spans="1:15" x14ac:dyDescent="0.2">
      <c r="A961">
        <v>20196</v>
      </c>
      <c r="B961" t="s">
        <v>34</v>
      </c>
      <c r="C961" s="16" t="str">
        <f t="shared" si="28"/>
        <v>Married</v>
      </c>
      <c r="D961" t="s">
        <v>34</v>
      </c>
      <c r="E961" s="16" t="str">
        <f t="shared" si="29"/>
        <v>Male</v>
      </c>
      <c r="F961" s="1">
        <v>60000</v>
      </c>
      <c r="G961">
        <v>1</v>
      </c>
      <c r="H961" t="s">
        <v>19</v>
      </c>
      <c r="I961" t="s">
        <v>14</v>
      </c>
      <c r="J961" t="s">
        <v>15</v>
      </c>
      <c r="K961">
        <v>1</v>
      </c>
      <c r="L961" t="s">
        <v>22</v>
      </c>
      <c r="M961" t="s">
        <v>32</v>
      </c>
      <c r="N961">
        <v>45</v>
      </c>
      <c r="O961" t="s">
        <v>15</v>
      </c>
    </row>
    <row r="962" spans="1:15" x14ac:dyDescent="0.2">
      <c r="A962">
        <v>23491</v>
      </c>
      <c r="B962" t="s">
        <v>35</v>
      </c>
      <c r="C962" s="16" t="str">
        <f t="shared" ref="C962:C1001" si="30">IF(B962="M","Married","Single")</f>
        <v>Single</v>
      </c>
      <c r="D962" t="s">
        <v>34</v>
      </c>
      <c r="E962" s="16" t="str">
        <f t="shared" ref="E962:E1001" si="31">IF(D962="F","Female","Male")</f>
        <v>Male</v>
      </c>
      <c r="F962" s="1">
        <v>100000</v>
      </c>
      <c r="G962">
        <v>0</v>
      </c>
      <c r="H962" t="s">
        <v>19</v>
      </c>
      <c r="I962" t="s">
        <v>21</v>
      </c>
      <c r="J962" t="s">
        <v>18</v>
      </c>
      <c r="K962">
        <v>4</v>
      </c>
      <c r="L962" t="s">
        <v>26</v>
      </c>
      <c r="M962" t="s">
        <v>32</v>
      </c>
      <c r="N962">
        <v>45</v>
      </c>
      <c r="O962" t="s">
        <v>18</v>
      </c>
    </row>
    <row r="963" spans="1:15" x14ac:dyDescent="0.2">
      <c r="A963">
        <v>16651</v>
      </c>
      <c r="B963" t="s">
        <v>34</v>
      </c>
      <c r="C963" s="16" t="str">
        <f t="shared" si="30"/>
        <v>Married</v>
      </c>
      <c r="D963" t="s">
        <v>33</v>
      </c>
      <c r="E963" s="16" t="str">
        <f t="shared" si="31"/>
        <v>Female</v>
      </c>
      <c r="F963" s="1">
        <v>120000</v>
      </c>
      <c r="G963">
        <v>2</v>
      </c>
      <c r="H963" t="s">
        <v>13</v>
      </c>
      <c r="I963" t="s">
        <v>28</v>
      </c>
      <c r="J963" t="s">
        <v>15</v>
      </c>
      <c r="K963">
        <v>3</v>
      </c>
      <c r="L963" t="s">
        <v>23</v>
      </c>
      <c r="M963" t="s">
        <v>32</v>
      </c>
      <c r="N963">
        <v>62</v>
      </c>
      <c r="O963" t="s">
        <v>18</v>
      </c>
    </row>
    <row r="964" spans="1:15" x14ac:dyDescent="0.2">
      <c r="A964">
        <v>16813</v>
      </c>
      <c r="B964" t="s">
        <v>34</v>
      </c>
      <c r="C964" s="16" t="str">
        <f t="shared" si="30"/>
        <v>Married</v>
      </c>
      <c r="D964" t="s">
        <v>34</v>
      </c>
      <c r="E964" s="16" t="str">
        <f t="shared" si="31"/>
        <v>Male</v>
      </c>
      <c r="F964" s="1">
        <v>60000</v>
      </c>
      <c r="G964">
        <v>2</v>
      </c>
      <c r="H964" t="s">
        <v>19</v>
      </c>
      <c r="I964" t="s">
        <v>21</v>
      </c>
      <c r="J964" t="s">
        <v>15</v>
      </c>
      <c r="K964">
        <v>2</v>
      </c>
      <c r="L964" t="s">
        <v>30</v>
      </c>
      <c r="M964" t="s">
        <v>32</v>
      </c>
      <c r="N964">
        <v>55</v>
      </c>
      <c r="O964" t="s">
        <v>18</v>
      </c>
    </row>
    <row r="965" spans="1:15" x14ac:dyDescent="0.2">
      <c r="A965">
        <v>16007</v>
      </c>
      <c r="B965" t="s">
        <v>34</v>
      </c>
      <c r="C965" s="16" t="str">
        <f t="shared" si="30"/>
        <v>Married</v>
      </c>
      <c r="D965" t="s">
        <v>33</v>
      </c>
      <c r="E965" s="16" t="str">
        <f t="shared" si="31"/>
        <v>Female</v>
      </c>
      <c r="F965" s="1">
        <v>90000</v>
      </c>
      <c r="G965">
        <v>5</v>
      </c>
      <c r="H965" t="s">
        <v>13</v>
      </c>
      <c r="I965" t="s">
        <v>28</v>
      </c>
      <c r="J965" t="s">
        <v>15</v>
      </c>
      <c r="K965">
        <v>2</v>
      </c>
      <c r="L965" t="s">
        <v>26</v>
      </c>
      <c r="M965" t="s">
        <v>32</v>
      </c>
      <c r="N965">
        <v>66</v>
      </c>
      <c r="O965" t="s">
        <v>15</v>
      </c>
    </row>
    <row r="966" spans="1:15" x14ac:dyDescent="0.2">
      <c r="A966">
        <v>27434</v>
      </c>
      <c r="B966" t="s">
        <v>35</v>
      </c>
      <c r="C966" s="16" t="str">
        <f t="shared" si="30"/>
        <v>Single</v>
      </c>
      <c r="D966" t="s">
        <v>34</v>
      </c>
      <c r="E966" s="16" t="str">
        <f t="shared" si="31"/>
        <v>Male</v>
      </c>
      <c r="F966" s="1">
        <v>70000</v>
      </c>
      <c r="G966">
        <v>4</v>
      </c>
      <c r="H966" t="s">
        <v>19</v>
      </c>
      <c r="I966" t="s">
        <v>21</v>
      </c>
      <c r="J966" t="s">
        <v>15</v>
      </c>
      <c r="K966">
        <v>1</v>
      </c>
      <c r="L966" t="s">
        <v>30</v>
      </c>
      <c r="M966" t="s">
        <v>32</v>
      </c>
      <c r="N966">
        <v>56</v>
      </c>
      <c r="O966" t="s">
        <v>18</v>
      </c>
    </row>
    <row r="967" spans="1:15" x14ac:dyDescent="0.2">
      <c r="A967">
        <v>27756</v>
      </c>
      <c r="B967" t="s">
        <v>35</v>
      </c>
      <c r="C967" s="16" t="str">
        <f t="shared" si="30"/>
        <v>Single</v>
      </c>
      <c r="D967" t="s">
        <v>33</v>
      </c>
      <c r="E967" s="16" t="str">
        <f t="shared" si="31"/>
        <v>Female</v>
      </c>
      <c r="F967" s="1">
        <v>50000</v>
      </c>
      <c r="G967">
        <v>3</v>
      </c>
      <c r="H967" t="s">
        <v>13</v>
      </c>
      <c r="I967" t="s">
        <v>14</v>
      </c>
      <c r="J967" t="s">
        <v>18</v>
      </c>
      <c r="K967">
        <v>1</v>
      </c>
      <c r="L967" t="s">
        <v>16</v>
      </c>
      <c r="M967" t="s">
        <v>32</v>
      </c>
      <c r="N967">
        <v>40</v>
      </c>
      <c r="O967" t="s">
        <v>18</v>
      </c>
    </row>
    <row r="968" spans="1:15" x14ac:dyDescent="0.2">
      <c r="A968">
        <v>23818</v>
      </c>
      <c r="B968" t="s">
        <v>34</v>
      </c>
      <c r="C968" s="16" t="str">
        <f t="shared" si="30"/>
        <v>Married</v>
      </c>
      <c r="D968" t="s">
        <v>33</v>
      </c>
      <c r="E968" s="16" t="str">
        <f t="shared" si="31"/>
        <v>Female</v>
      </c>
      <c r="F968" s="1">
        <v>50000</v>
      </c>
      <c r="G968">
        <v>0</v>
      </c>
      <c r="H968" t="s">
        <v>31</v>
      </c>
      <c r="I968" t="s">
        <v>14</v>
      </c>
      <c r="J968" t="s">
        <v>15</v>
      </c>
      <c r="K968">
        <v>0</v>
      </c>
      <c r="L968" t="s">
        <v>26</v>
      </c>
      <c r="M968" t="s">
        <v>32</v>
      </c>
      <c r="N968">
        <v>33</v>
      </c>
      <c r="O968" t="s">
        <v>15</v>
      </c>
    </row>
    <row r="969" spans="1:15" x14ac:dyDescent="0.2">
      <c r="A969">
        <v>19012</v>
      </c>
      <c r="B969" t="s">
        <v>34</v>
      </c>
      <c r="C969" s="16" t="str">
        <f t="shared" si="30"/>
        <v>Married</v>
      </c>
      <c r="D969" t="s">
        <v>34</v>
      </c>
      <c r="E969" s="16" t="str">
        <f t="shared" si="31"/>
        <v>Male</v>
      </c>
      <c r="F969" s="1">
        <v>80000</v>
      </c>
      <c r="G969">
        <v>3</v>
      </c>
      <c r="H969" t="s">
        <v>13</v>
      </c>
      <c r="I969" t="s">
        <v>28</v>
      </c>
      <c r="J969" t="s">
        <v>15</v>
      </c>
      <c r="K969">
        <v>1</v>
      </c>
      <c r="L969" t="s">
        <v>26</v>
      </c>
      <c r="M969" t="s">
        <v>32</v>
      </c>
      <c r="N969">
        <v>56</v>
      </c>
      <c r="O969" t="s">
        <v>18</v>
      </c>
    </row>
    <row r="970" spans="1:15" x14ac:dyDescent="0.2">
      <c r="A970">
        <v>18329</v>
      </c>
      <c r="B970" t="s">
        <v>35</v>
      </c>
      <c r="C970" s="16" t="str">
        <f t="shared" si="30"/>
        <v>Single</v>
      </c>
      <c r="D970" t="s">
        <v>34</v>
      </c>
      <c r="E970" s="16" t="str">
        <f t="shared" si="31"/>
        <v>Male</v>
      </c>
      <c r="F970" s="1">
        <v>30000</v>
      </c>
      <c r="G970">
        <v>0</v>
      </c>
      <c r="H970" t="s">
        <v>29</v>
      </c>
      <c r="I970" t="s">
        <v>20</v>
      </c>
      <c r="J970" t="s">
        <v>18</v>
      </c>
      <c r="K970">
        <v>2</v>
      </c>
      <c r="L970" t="s">
        <v>23</v>
      </c>
      <c r="M970" t="s">
        <v>32</v>
      </c>
      <c r="N970">
        <v>27</v>
      </c>
      <c r="O970" t="s">
        <v>18</v>
      </c>
    </row>
    <row r="971" spans="1:15" x14ac:dyDescent="0.2">
      <c r="A971">
        <v>29037</v>
      </c>
      <c r="B971" t="s">
        <v>34</v>
      </c>
      <c r="C971" s="16" t="str">
        <f t="shared" si="30"/>
        <v>Married</v>
      </c>
      <c r="D971" t="s">
        <v>34</v>
      </c>
      <c r="E971" s="16" t="str">
        <f t="shared" si="31"/>
        <v>Male</v>
      </c>
      <c r="F971" s="1">
        <v>60000</v>
      </c>
      <c r="G971">
        <v>0</v>
      </c>
      <c r="H971" t="s">
        <v>31</v>
      </c>
      <c r="I971" t="s">
        <v>21</v>
      </c>
      <c r="J971" t="s">
        <v>18</v>
      </c>
      <c r="K971">
        <v>0</v>
      </c>
      <c r="L971" t="s">
        <v>16</v>
      </c>
      <c r="M971" t="s">
        <v>32</v>
      </c>
      <c r="N971">
        <v>39</v>
      </c>
      <c r="O971" t="s">
        <v>18</v>
      </c>
    </row>
    <row r="972" spans="1:15" x14ac:dyDescent="0.2">
      <c r="A972">
        <v>26576</v>
      </c>
      <c r="B972" t="s">
        <v>34</v>
      </c>
      <c r="C972" s="16" t="str">
        <f t="shared" si="30"/>
        <v>Married</v>
      </c>
      <c r="D972" t="s">
        <v>33</v>
      </c>
      <c r="E972" s="16" t="str">
        <f t="shared" si="31"/>
        <v>Female</v>
      </c>
      <c r="F972" s="1">
        <v>60000</v>
      </c>
      <c r="G972">
        <v>0</v>
      </c>
      <c r="H972" t="s">
        <v>19</v>
      </c>
      <c r="I972" t="s">
        <v>14</v>
      </c>
      <c r="J972" t="s">
        <v>15</v>
      </c>
      <c r="K972">
        <v>2</v>
      </c>
      <c r="L972" t="s">
        <v>23</v>
      </c>
      <c r="M972" t="s">
        <v>32</v>
      </c>
      <c r="N972">
        <v>31</v>
      </c>
      <c r="O972" t="s">
        <v>18</v>
      </c>
    </row>
    <row r="973" spans="1:15" x14ac:dyDescent="0.2">
      <c r="A973">
        <v>12192</v>
      </c>
      <c r="B973" t="s">
        <v>35</v>
      </c>
      <c r="C973" s="16" t="str">
        <f t="shared" si="30"/>
        <v>Single</v>
      </c>
      <c r="D973" t="s">
        <v>33</v>
      </c>
      <c r="E973" s="16" t="str">
        <f t="shared" si="31"/>
        <v>Female</v>
      </c>
      <c r="F973" s="1">
        <v>60000</v>
      </c>
      <c r="G973">
        <v>2</v>
      </c>
      <c r="H973" t="s">
        <v>29</v>
      </c>
      <c r="I973" t="s">
        <v>14</v>
      </c>
      <c r="J973" t="s">
        <v>18</v>
      </c>
      <c r="K973">
        <v>2</v>
      </c>
      <c r="L973" t="s">
        <v>26</v>
      </c>
      <c r="M973" t="s">
        <v>32</v>
      </c>
      <c r="N973">
        <v>51</v>
      </c>
      <c r="O973" t="s">
        <v>18</v>
      </c>
    </row>
    <row r="974" spans="1:15" x14ac:dyDescent="0.2">
      <c r="A974">
        <v>14887</v>
      </c>
      <c r="B974" t="s">
        <v>34</v>
      </c>
      <c r="C974" s="16" t="str">
        <f t="shared" si="30"/>
        <v>Married</v>
      </c>
      <c r="D974" t="s">
        <v>33</v>
      </c>
      <c r="E974" s="16" t="str">
        <f t="shared" si="31"/>
        <v>Female</v>
      </c>
      <c r="F974" s="1">
        <v>30000</v>
      </c>
      <c r="G974">
        <v>1</v>
      </c>
      <c r="H974" t="s">
        <v>27</v>
      </c>
      <c r="I974" t="s">
        <v>20</v>
      </c>
      <c r="J974" t="s">
        <v>15</v>
      </c>
      <c r="K974">
        <v>1</v>
      </c>
      <c r="L974" t="s">
        <v>23</v>
      </c>
      <c r="M974" t="s">
        <v>32</v>
      </c>
      <c r="N974">
        <v>52</v>
      </c>
      <c r="O974" t="s">
        <v>18</v>
      </c>
    </row>
    <row r="975" spans="1:15" x14ac:dyDescent="0.2">
      <c r="A975">
        <v>11734</v>
      </c>
      <c r="B975" t="s">
        <v>34</v>
      </c>
      <c r="C975" s="16" t="str">
        <f t="shared" si="30"/>
        <v>Married</v>
      </c>
      <c r="D975" t="s">
        <v>34</v>
      </c>
      <c r="E975" s="16" t="str">
        <f t="shared" si="31"/>
        <v>Male</v>
      </c>
      <c r="F975" s="1">
        <v>60000</v>
      </c>
      <c r="G975">
        <v>1</v>
      </c>
      <c r="H975" t="s">
        <v>19</v>
      </c>
      <c r="I975" t="s">
        <v>14</v>
      </c>
      <c r="J975" t="s">
        <v>18</v>
      </c>
      <c r="K975">
        <v>1</v>
      </c>
      <c r="L975" t="s">
        <v>16</v>
      </c>
      <c r="M975" t="s">
        <v>32</v>
      </c>
      <c r="N975">
        <v>47</v>
      </c>
      <c r="O975" t="s">
        <v>18</v>
      </c>
    </row>
    <row r="976" spans="1:15" x14ac:dyDescent="0.2">
      <c r="A976">
        <v>17462</v>
      </c>
      <c r="B976" t="s">
        <v>34</v>
      </c>
      <c r="C976" s="16" t="str">
        <f t="shared" si="30"/>
        <v>Married</v>
      </c>
      <c r="D976" t="s">
        <v>34</v>
      </c>
      <c r="E976" s="16" t="str">
        <f t="shared" si="31"/>
        <v>Male</v>
      </c>
      <c r="F976" s="1">
        <v>70000</v>
      </c>
      <c r="G976">
        <v>3</v>
      </c>
      <c r="H976" t="s">
        <v>31</v>
      </c>
      <c r="I976" t="s">
        <v>28</v>
      </c>
      <c r="J976" t="s">
        <v>15</v>
      </c>
      <c r="K976">
        <v>2</v>
      </c>
      <c r="L976" t="s">
        <v>23</v>
      </c>
      <c r="M976" t="s">
        <v>32</v>
      </c>
      <c r="N976">
        <v>53</v>
      </c>
      <c r="O976" t="s">
        <v>15</v>
      </c>
    </row>
    <row r="977" spans="1:15" x14ac:dyDescent="0.2">
      <c r="A977">
        <v>20659</v>
      </c>
      <c r="B977" t="s">
        <v>34</v>
      </c>
      <c r="C977" s="16" t="str">
        <f t="shared" si="30"/>
        <v>Married</v>
      </c>
      <c r="D977" t="s">
        <v>34</v>
      </c>
      <c r="E977" s="16" t="str">
        <f t="shared" si="31"/>
        <v>Male</v>
      </c>
      <c r="F977" s="1">
        <v>70000</v>
      </c>
      <c r="G977">
        <v>3</v>
      </c>
      <c r="H977" t="s">
        <v>31</v>
      </c>
      <c r="I977" t="s">
        <v>21</v>
      </c>
      <c r="J977" t="s">
        <v>15</v>
      </c>
      <c r="K977">
        <v>0</v>
      </c>
      <c r="L977" t="s">
        <v>16</v>
      </c>
      <c r="M977" t="s">
        <v>32</v>
      </c>
      <c r="N977">
        <v>35</v>
      </c>
      <c r="O977" t="s">
        <v>15</v>
      </c>
    </row>
    <row r="978" spans="1:15" x14ac:dyDescent="0.2">
      <c r="A978">
        <v>28004</v>
      </c>
      <c r="B978" t="s">
        <v>34</v>
      </c>
      <c r="C978" s="16" t="str">
        <f t="shared" si="30"/>
        <v>Married</v>
      </c>
      <c r="D978" t="s">
        <v>33</v>
      </c>
      <c r="E978" s="16" t="str">
        <f t="shared" si="31"/>
        <v>Female</v>
      </c>
      <c r="F978" s="1">
        <v>60000</v>
      </c>
      <c r="G978">
        <v>3</v>
      </c>
      <c r="H978" t="s">
        <v>13</v>
      </c>
      <c r="I978" t="s">
        <v>28</v>
      </c>
      <c r="J978" t="s">
        <v>15</v>
      </c>
      <c r="K978">
        <v>2</v>
      </c>
      <c r="L978" t="s">
        <v>30</v>
      </c>
      <c r="M978" t="s">
        <v>32</v>
      </c>
      <c r="N978">
        <v>66</v>
      </c>
      <c r="O978" t="s">
        <v>18</v>
      </c>
    </row>
    <row r="979" spans="1:15" x14ac:dyDescent="0.2">
      <c r="A979">
        <v>19741</v>
      </c>
      <c r="B979" t="s">
        <v>35</v>
      </c>
      <c r="C979" s="16" t="str">
        <f t="shared" si="30"/>
        <v>Single</v>
      </c>
      <c r="D979" t="s">
        <v>33</v>
      </c>
      <c r="E979" s="16" t="str">
        <f t="shared" si="31"/>
        <v>Female</v>
      </c>
      <c r="F979" s="1">
        <v>80000</v>
      </c>
      <c r="G979">
        <v>4</v>
      </c>
      <c r="H979" t="s">
        <v>31</v>
      </c>
      <c r="I979" t="s">
        <v>28</v>
      </c>
      <c r="J979" t="s">
        <v>15</v>
      </c>
      <c r="K979">
        <v>2</v>
      </c>
      <c r="L979" t="s">
        <v>23</v>
      </c>
      <c r="M979" t="s">
        <v>32</v>
      </c>
      <c r="N979">
        <v>65</v>
      </c>
      <c r="O979" t="s">
        <v>18</v>
      </c>
    </row>
    <row r="980" spans="1:15" x14ac:dyDescent="0.2">
      <c r="A980">
        <v>17450</v>
      </c>
      <c r="B980" t="s">
        <v>34</v>
      </c>
      <c r="C980" s="16" t="str">
        <f t="shared" si="30"/>
        <v>Married</v>
      </c>
      <c r="D980" t="s">
        <v>34</v>
      </c>
      <c r="E980" s="16" t="str">
        <f t="shared" si="31"/>
        <v>Male</v>
      </c>
      <c r="F980" s="1">
        <v>80000</v>
      </c>
      <c r="G980">
        <v>5</v>
      </c>
      <c r="H980" t="s">
        <v>19</v>
      </c>
      <c r="I980" t="s">
        <v>21</v>
      </c>
      <c r="J980" t="s">
        <v>15</v>
      </c>
      <c r="K980">
        <v>3</v>
      </c>
      <c r="L980" t="s">
        <v>23</v>
      </c>
      <c r="M980" t="s">
        <v>32</v>
      </c>
      <c r="N980">
        <v>45</v>
      </c>
      <c r="O980" t="s">
        <v>18</v>
      </c>
    </row>
    <row r="981" spans="1:15" x14ac:dyDescent="0.2">
      <c r="A981">
        <v>17337</v>
      </c>
      <c r="B981" t="s">
        <v>35</v>
      </c>
      <c r="C981" s="16" t="str">
        <f t="shared" si="30"/>
        <v>Single</v>
      </c>
      <c r="D981" t="s">
        <v>34</v>
      </c>
      <c r="E981" s="16" t="str">
        <f t="shared" si="31"/>
        <v>Male</v>
      </c>
      <c r="F981" s="1">
        <v>40000</v>
      </c>
      <c r="G981">
        <v>0</v>
      </c>
      <c r="H981" t="s">
        <v>27</v>
      </c>
      <c r="I981" t="s">
        <v>14</v>
      </c>
      <c r="J981" t="s">
        <v>15</v>
      </c>
      <c r="K981">
        <v>1</v>
      </c>
      <c r="L981" t="s">
        <v>23</v>
      </c>
      <c r="M981" t="s">
        <v>32</v>
      </c>
      <c r="N981">
        <v>31</v>
      </c>
      <c r="O981" t="s">
        <v>18</v>
      </c>
    </row>
    <row r="982" spans="1:15" x14ac:dyDescent="0.2">
      <c r="A982">
        <v>18594</v>
      </c>
      <c r="B982" t="s">
        <v>35</v>
      </c>
      <c r="C982" s="16" t="str">
        <f t="shared" si="30"/>
        <v>Single</v>
      </c>
      <c r="D982" t="s">
        <v>33</v>
      </c>
      <c r="E982" s="16" t="str">
        <f t="shared" si="31"/>
        <v>Female</v>
      </c>
      <c r="F982" s="1">
        <v>80000</v>
      </c>
      <c r="G982">
        <v>3</v>
      </c>
      <c r="H982" t="s">
        <v>13</v>
      </c>
      <c r="I982" t="s">
        <v>14</v>
      </c>
      <c r="J982" t="s">
        <v>15</v>
      </c>
      <c r="K982">
        <v>3</v>
      </c>
      <c r="L982" t="s">
        <v>30</v>
      </c>
      <c r="M982" t="s">
        <v>32</v>
      </c>
      <c r="N982">
        <v>40</v>
      </c>
      <c r="O982" t="s">
        <v>15</v>
      </c>
    </row>
    <row r="983" spans="1:15" x14ac:dyDescent="0.2">
      <c r="A983">
        <v>15982</v>
      </c>
      <c r="B983" t="s">
        <v>34</v>
      </c>
      <c r="C983" s="16" t="str">
        <f t="shared" si="30"/>
        <v>Married</v>
      </c>
      <c r="D983" t="s">
        <v>34</v>
      </c>
      <c r="E983" s="16" t="str">
        <f t="shared" si="31"/>
        <v>Male</v>
      </c>
      <c r="F983" s="1">
        <v>110000</v>
      </c>
      <c r="G983">
        <v>5</v>
      </c>
      <c r="H983" t="s">
        <v>19</v>
      </c>
      <c r="I983" t="s">
        <v>21</v>
      </c>
      <c r="J983" t="s">
        <v>15</v>
      </c>
      <c r="K983">
        <v>4</v>
      </c>
      <c r="L983" t="s">
        <v>22</v>
      </c>
      <c r="M983" t="s">
        <v>32</v>
      </c>
      <c r="N983">
        <v>46</v>
      </c>
      <c r="O983" t="s">
        <v>18</v>
      </c>
    </row>
    <row r="984" spans="1:15" x14ac:dyDescent="0.2">
      <c r="A984">
        <v>28625</v>
      </c>
      <c r="B984" t="s">
        <v>35</v>
      </c>
      <c r="C984" s="16" t="str">
        <f t="shared" si="30"/>
        <v>Single</v>
      </c>
      <c r="D984" t="s">
        <v>34</v>
      </c>
      <c r="E984" s="16" t="str">
        <f t="shared" si="31"/>
        <v>Male</v>
      </c>
      <c r="F984" s="1">
        <v>40000</v>
      </c>
      <c r="G984">
        <v>2</v>
      </c>
      <c r="H984" t="s">
        <v>19</v>
      </c>
      <c r="I984" t="s">
        <v>20</v>
      </c>
      <c r="J984" t="s">
        <v>18</v>
      </c>
      <c r="K984">
        <v>1</v>
      </c>
      <c r="L984" t="s">
        <v>26</v>
      </c>
      <c r="M984" t="s">
        <v>32</v>
      </c>
      <c r="N984">
        <v>47</v>
      </c>
      <c r="O984" t="s">
        <v>15</v>
      </c>
    </row>
    <row r="985" spans="1:15" x14ac:dyDescent="0.2">
      <c r="A985">
        <v>11269</v>
      </c>
      <c r="B985" t="s">
        <v>34</v>
      </c>
      <c r="C985" s="16" t="str">
        <f t="shared" si="30"/>
        <v>Married</v>
      </c>
      <c r="D985" t="s">
        <v>34</v>
      </c>
      <c r="E985" s="16" t="str">
        <f t="shared" si="31"/>
        <v>Male</v>
      </c>
      <c r="F985" s="1">
        <v>130000</v>
      </c>
      <c r="G985">
        <v>2</v>
      </c>
      <c r="H985" t="s">
        <v>31</v>
      </c>
      <c r="I985" t="s">
        <v>28</v>
      </c>
      <c r="J985" t="s">
        <v>15</v>
      </c>
      <c r="K985">
        <v>2</v>
      </c>
      <c r="L985" t="s">
        <v>16</v>
      </c>
      <c r="M985" t="s">
        <v>32</v>
      </c>
      <c r="N985">
        <v>41</v>
      </c>
      <c r="O985" t="s">
        <v>18</v>
      </c>
    </row>
    <row r="986" spans="1:15" x14ac:dyDescent="0.2">
      <c r="A986">
        <v>25148</v>
      </c>
      <c r="B986" t="s">
        <v>34</v>
      </c>
      <c r="C986" s="16" t="str">
        <f t="shared" si="30"/>
        <v>Married</v>
      </c>
      <c r="D986" t="s">
        <v>34</v>
      </c>
      <c r="E986" s="16" t="str">
        <f t="shared" si="31"/>
        <v>Male</v>
      </c>
      <c r="F986" s="1">
        <v>60000</v>
      </c>
      <c r="G986">
        <v>2</v>
      </c>
      <c r="H986" t="s">
        <v>27</v>
      </c>
      <c r="I986" t="s">
        <v>21</v>
      </c>
      <c r="J986" t="s">
        <v>18</v>
      </c>
      <c r="K986">
        <v>2</v>
      </c>
      <c r="L986" t="s">
        <v>26</v>
      </c>
      <c r="M986" t="s">
        <v>32</v>
      </c>
      <c r="N986">
        <v>48</v>
      </c>
      <c r="O986" t="s">
        <v>15</v>
      </c>
    </row>
    <row r="987" spans="1:15" x14ac:dyDescent="0.2">
      <c r="A987">
        <v>13920</v>
      </c>
      <c r="B987" t="s">
        <v>35</v>
      </c>
      <c r="C987" s="16" t="str">
        <f t="shared" si="30"/>
        <v>Single</v>
      </c>
      <c r="D987" t="s">
        <v>33</v>
      </c>
      <c r="E987" s="16" t="str">
        <f t="shared" si="31"/>
        <v>Female</v>
      </c>
      <c r="F987" s="1">
        <v>50000</v>
      </c>
      <c r="G987">
        <v>4</v>
      </c>
      <c r="H987" t="s">
        <v>13</v>
      </c>
      <c r="I987" t="s">
        <v>14</v>
      </c>
      <c r="J987" t="s">
        <v>15</v>
      </c>
      <c r="K987">
        <v>2</v>
      </c>
      <c r="L987" t="s">
        <v>16</v>
      </c>
      <c r="M987" t="s">
        <v>32</v>
      </c>
      <c r="N987">
        <v>42</v>
      </c>
      <c r="O987" t="s">
        <v>18</v>
      </c>
    </row>
    <row r="988" spans="1:15" x14ac:dyDescent="0.2">
      <c r="A988">
        <v>23704</v>
      </c>
      <c r="B988" t="s">
        <v>35</v>
      </c>
      <c r="C988" s="16" t="str">
        <f t="shared" si="30"/>
        <v>Single</v>
      </c>
      <c r="D988" t="s">
        <v>34</v>
      </c>
      <c r="E988" s="16" t="str">
        <f t="shared" si="31"/>
        <v>Male</v>
      </c>
      <c r="F988" s="1">
        <v>40000</v>
      </c>
      <c r="G988">
        <v>5</v>
      </c>
      <c r="H988" t="s">
        <v>27</v>
      </c>
      <c r="I988" t="s">
        <v>21</v>
      </c>
      <c r="J988" t="s">
        <v>15</v>
      </c>
      <c r="K988">
        <v>4</v>
      </c>
      <c r="L988" t="s">
        <v>30</v>
      </c>
      <c r="M988" t="s">
        <v>32</v>
      </c>
      <c r="N988">
        <v>60</v>
      </c>
      <c r="O988" t="s">
        <v>15</v>
      </c>
    </row>
    <row r="989" spans="1:15" x14ac:dyDescent="0.2">
      <c r="A989">
        <v>28972</v>
      </c>
      <c r="B989" t="s">
        <v>35</v>
      </c>
      <c r="C989" s="16" t="str">
        <f t="shared" si="30"/>
        <v>Single</v>
      </c>
      <c r="D989" t="s">
        <v>33</v>
      </c>
      <c r="E989" s="16" t="str">
        <f t="shared" si="31"/>
        <v>Female</v>
      </c>
      <c r="F989" s="1">
        <v>60000</v>
      </c>
      <c r="G989">
        <v>3</v>
      </c>
      <c r="H989" t="s">
        <v>31</v>
      </c>
      <c r="I989" t="s">
        <v>28</v>
      </c>
      <c r="J989" t="s">
        <v>15</v>
      </c>
      <c r="K989">
        <v>2</v>
      </c>
      <c r="L989" t="s">
        <v>30</v>
      </c>
      <c r="M989" t="s">
        <v>32</v>
      </c>
      <c r="N989">
        <v>66</v>
      </c>
      <c r="O989" t="s">
        <v>18</v>
      </c>
    </row>
    <row r="990" spans="1:15" x14ac:dyDescent="0.2">
      <c r="A990">
        <v>22730</v>
      </c>
      <c r="B990" t="s">
        <v>34</v>
      </c>
      <c r="C990" s="16" t="str">
        <f t="shared" si="30"/>
        <v>Married</v>
      </c>
      <c r="D990" t="s">
        <v>34</v>
      </c>
      <c r="E990" s="16" t="str">
        <f t="shared" si="31"/>
        <v>Male</v>
      </c>
      <c r="F990" s="1">
        <v>70000</v>
      </c>
      <c r="G990">
        <v>5</v>
      </c>
      <c r="H990" t="s">
        <v>13</v>
      </c>
      <c r="I990" t="s">
        <v>28</v>
      </c>
      <c r="J990" t="s">
        <v>15</v>
      </c>
      <c r="K990">
        <v>2</v>
      </c>
      <c r="L990" t="s">
        <v>30</v>
      </c>
      <c r="M990" t="s">
        <v>32</v>
      </c>
      <c r="N990">
        <v>63</v>
      </c>
      <c r="O990" t="s">
        <v>18</v>
      </c>
    </row>
    <row r="991" spans="1:15" x14ac:dyDescent="0.2">
      <c r="A991">
        <v>29134</v>
      </c>
      <c r="B991" t="s">
        <v>34</v>
      </c>
      <c r="C991" s="16" t="str">
        <f t="shared" si="30"/>
        <v>Married</v>
      </c>
      <c r="D991" t="s">
        <v>34</v>
      </c>
      <c r="E991" s="16" t="str">
        <f t="shared" si="31"/>
        <v>Male</v>
      </c>
      <c r="F991" s="1">
        <v>60000</v>
      </c>
      <c r="G991">
        <v>4</v>
      </c>
      <c r="H991" t="s">
        <v>13</v>
      </c>
      <c r="I991" t="s">
        <v>14</v>
      </c>
      <c r="J991" t="s">
        <v>18</v>
      </c>
      <c r="K991">
        <v>3</v>
      </c>
      <c r="L991" t="s">
        <v>30</v>
      </c>
      <c r="M991" t="s">
        <v>32</v>
      </c>
      <c r="N991">
        <v>42</v>
      </c>
      <c r="O991" t="s">
        <v>18</v>
      </c>
    </row>
    <row r="992" spans="1:15" x14ac:dyDescent="0.2">
      <c r="A992">
        <v>14332</v>
      </c>
      <c r="B992" t="s">
        <v>35</v>
      </c>
      <c r="C992" s="16" t="str">
        <f t="shared" si="30"/>
        <v>Single</v>
      </c>
      <c r="D992" t="s">
        <v>33</v>
      </c>
      <c r="E992" s="16" t="str">
        <f t="shared" si="31"/>
        <v>Female</v>
      </c>
      <c r="F992" s="1">
        <v>30000</v>
      </c>
      <c r="G992">
        <v>0</v>
      </c>
      <c r="H992" t="s">
        <v>27</v>
      </c>
      <c r="I992" t="s">
        <v>14</v>
      </c>
      <c r="J992" t="s">
        <v>18</v>
      </c>
      <c r="K992">
        <v>2</v>
      </c>
      <c r="L992" t="s">
        <v>23</v>
      </c>
      <c r="M992" t="s">
        <v>32</v>
      </c>
      <c r="N992">
        <v>26</v>
      </c>
      <c r="O992" t="s">
        <v>18</v>
      </c>
    </row>
    <row r="993" spans="1:15" x14ac:dyDescent="0.2">
      <c r="A993">
        <v>19117</v>
      </c>
      <c r="B993" t="s">
        <v>35</v>
      </c>
      <c r="C993" s="16" t="str">
        <f t="shared" si="30"/>
        <v>Single</v>
      </c>
      <c r="D993" t="s">
        <v>33</v>
      </c>
      <c r="E993" s="16" t="str">
        <f t="shared" si="31"/>
        <v>Female</v>
      </c>
      <c r="F993" s="1">
        <v>60000</v>
      </c>
      <c r="G993">
        <v>1</v>
      </c>
      <c r="H993" t="s">
        <v>31</v>
      </c>
      <c r="I993" t="s">
        <v>21</v>
      </c>
      <c r="J993" t="s">
        <v>15</v>
      </c>
      <c r="K993">
        <v>0</v>
      </c>
      <c r="L993" t="s">
        <v>22</v>
      </c>
      <c r="M993" t="s">
        <v>32</v>
      </c>
      <c r="N993">
        <v>36</v>
      </c>
      <c r="O993" t="s">
        <v>15</v>
      </c>
    </row>
    <row r="994" spans="1:15" x14ac:dyDescent="0.2">
      <c r="A994">
        <v>22864</v>
      </c>
      <c r="B994" t="s">
        <v>34</v>
      </c>
      <c r="C994" s="16" t="str">
        <f t="shared" si="30"/>
        <v>Married</v>
      </c>
      <c r="D994" t="s">
        <v>34</v>
      </c>
      <c r="E994" s="16" t="str">
        <f t="shared" si="31"/>
        <v>Male</v>
      </c>
      <c r="F994" s="1">
        <v>90000</v>
      </c>
      <c r="G994">
        <v>2</v>
      </c>
      <c r="H994" t="s">
        <v>19</v>
      </c>
      <c r="I994" t="s">
        <v>21</v>
      </c>
      <c r="J994" t="s">
        <v>18</v>
      </c>
      <c r="K994">
        <v>0</v>
      </c>
      <c r="L994" t="s">
        <v>23</v>
      </c>
      <c r="M994" t="s">
        <v>32</v>
      </c>
      <c r="N994">
        <v>49</v>
      </c>
      <c r="O994" t="s">
        <v>15</v>
      </c>
    </row>
    <row r="995" spans="1:15" x14ac:dyDescent="0.2">
      <c r="A995">
        <v>11292</v>
      </c>
      <c r="B995" t="s">
        <v>35</v>
      </c>
      <c r="C995" s="16" t="str">
        <f t="shared" si="30"/>
        <v>Single</v>
      </c>
      <c r="D995" t="s">
        <v>34</v>
      </c>
      <c r="E995" s="16" t="str">
        <f t="shared" si="31"/>
        <v>Male</v>
      </c>
      <c r="F995" s="1">
        <v>150000</v>
      </c>
      <c r="G995">
        <v>1</v>
      </c>
      <c r="H995" t="s">
        <v>19</v>
      </c>
      <c r="I995" t="s">
        <v>21</v>
      </c>
      <c r="J995" t="s">
        <v>18</v>
      </c>
      <c r="K995">
        <v>3</v>
      </c>
      <c r="L995" t="s">
        <v>16</v>
      </c>
      <c r="M995" t="s">
        <v>32</v>
      </c>
      <c r="N995">
        <v>44</v>
      </c>
      <c r="O995" t="s">
        <v>15</v>
      </c>
    </row>
    <row r="996" spans="1:15" x14ac:dyDescent="0.2">
      <c r="A996">
        <v>13466</v>
      </c>
      <c r="B996" t="s">
        <v>34</v>
      </c>
      <c r="C996" s="16" t="str">
        <f t="shared" si="30"/>
        <v>Married</v>
      </c>
      <c r="D996" t="s">
        <v>34</v>
      </c>
      <c r="E996" s="16" t="str">
        <f t="shared" si="31"/>
        <v>Male</v>
      </c>
      <c r="F996" s="1">
        <v>80000</v>
      </c>
      <c r="G996">
        <v>5</v>
      </c>
      <c r="H996" t="s">
        <v>19</v>
      </c>
      <c r="I996" t="s">
        <v>21</v>
      </c>
      <c r="J996" t="s">
        <v>15</v>
      </c>
      <c r="K996">
        <v>3</v>
      </c>
      <c r="L996" t="s">
        <v>26</v>
      </c>
      <c r="M996" t="s">
        <v>32</v>
      </c>
      <c r="N996">
        <v>46</v>
      </c>
      <c r="O996" t="s">
        <v>18</v>
      </c>
    </row>
    <row r="997" spans="1:15" x14ac:dyDescent="0.2">
      <c r="A997">
        <v>23731</v>
      </c>
      <c r="B997" t="s">
        <v>34</v>
      </c>
      <c r="C997" s="16" t="str">
        <f t="shared" si="30"/>
        <v>Married</v>
      </c>
      <c r="D997" t="s">
        <v>34</v>
      </c>
      <c r="E997" s="16" t="str">
        <f t="shared" si="31"/>
        <v>Male</v>
      </c>
      <c r="F997" s="1">
        <v>60000</v>
      </c>
      <c r="G997" s="2">
        <v>2</v>
      </c>
      <c r="H997" t="s">
        <v>27</v>
      </c>
      <c r="I997" t="s">
        <v>21</v>
      </c>
      <c r="J997" t="s">
        <v>15</v>
      </c>
      <c r="K997">
        <v>2</v>
      </c>
      <c r="L997" t="s">
        <v>22</v>
      </c>
      <c r="M997" t="s">
        <v>32</v>
      </c>
      <c r="N997">
        <v>54</v>
      </c>
      <c r="O997" t="s">
        <v>15</v>
      </c>
    </row>
    <row r="998" spans="1:15" x14ac:dyDescent="0.2">
      <c r="A998">
        <v>28672</v>
      </c>
      <c r="B998" t="s">
        <v>35</v>
      </c>
      <c r="C998" s="16" t="str">
        <f t="shared" si="30"/>
        <v>Single</v>
      </c>
      <c r="D998" t="s">
        <v>34</v>
      </c>
      <c r="E998" s="16" t="str">
        <f t="shared" si="31"/>
        <v>Male</v>
      </c>
      <c r="F998" s="1">
        <v>70000</v>
      </c>
      <c r="G998">
        <v>4</v>
      </c>
      <c r="H998" t="s">
        <v>31</v>
      </c>
      <c r="I998" t="s">
        <v>21</v>
      </c>
      <c r="J998" t="s">
        <v>15</v>
      </c>
      <c r="K998">
        <v>0</v>
      </c>
      <c r="L998" t="s">
        <v>22</v>
      </c>
      <c r="M998" t="s">
        <v>32</v>
      </c>
      <c r="N998">
        <v>35</v>
      </c>
      <c r="O998" t="s">
        <v>15</v>
      </c>
    </row>
    <row r="999" spans="1:15" x14ac:dyDescent="0.2">
      <c r="A999">
        <v>11809</v>
      </c>
      <c r="B999" t="s">
        <v>34</v>
      </c>
      <c r="C999" s="16" t="str">
        <f t="shared" si="30"/>
        <v>Married</v>
      </c>
      <c r="D999" t="s">
        <v>34</v>
      </c>
      <c r="E999" s="16" t="str">
        <f t="shared" si="31"/>
        <v>Male</v>
      </c>
      <c r="F999" s="1">
        <v>60000</v>
      </c>
      <c r="G999">
        <v>2</v>
      </c>
      <c r="H999" t="s">
        <v>13</v>
      </c>
      <c r="I999" t="s">
        <v>14</v>
      </c>
      <c r="J999" t="s">
        <v>15</v>
      </c>
      <c r="K999">
        <v>0</v>
      </c>
      <c r="L999" t="s">
        <v>16</v>
      </c>
      <c r="M999" t="s">
        <v>32</v>
      </c>
      <c r="N999">
        <v>38</v>
      </c>
      <c r="O999" t="s">
        <v>15</v>
      </c>
    </row>
    <row r="1000" spans="1:15" x14ac:dyDescent="0.2">
      <c r="A1000">
        <v>19664</v>
      </c>
      <c r="B1000" t="s">
        <v>35</v>
      </c>
      <c r="C1000" s="16" t="str">
        <f t="shared" si="30"/>
        <v>Single</v>
      </c>
      <c r="D1000" t="s">
        <v>34</v>
      </c>
      <c r="E1000" s="16" t="str">
        <f t="shared" si="31"/>
        <v>Male</v>
      </c>
      <c r="F1000" s="1">
        <v>100000</v>
      </c>
      <c r="G1000">
        <v>3</v>
      </c>
      <c r="H1000" t="s">
        <v>13</v>
      </c>
      <c r="I1000" t="s">
        <v>28</v>
      </c>
      <c r="J1000" t="s">
        <v>18</v>
      </c>
      <c r="K1000">
        <v>3</v>
      </c>
      <c r="L1000" t="s">
        <v>26</v>
      </c>
      <c r="M1000" t="s">
        <v>32</v>
      </c>
      <c r="N1000">
        <v>38</v>
      </c>
      <c r="O1000" t="s">
        <v>18</v>
      </c>
    </row>
    <row r="1001" spans="1:15" x14ac:dyDescent="0.2">
      <c r="A1001">
        <v>12121</v>
      </c>
      <c r="B1001" t="s">
        <v>35</v>
      </c>
      <c r="C1001" s="16" t="str">
        <f t="shared" si="30"/>
        <v>Single</v>
      </c>
      <c r="D1001" t="s">
        <v>34</v>
      </c>
      <c r="E1001" s="16" t="str">
        <f t="shared" si="31"/>
        <v>Male</v>
      </c>
      <c r="F1001" s="1">
        <v>60000</v>
      </c>
      <c r="G1001">
        <v>3</v>
      </c>
      <c r="H1001" t="s">
        <v>27</v>
      </c>
      <c r="I1001" t="s">
        <v>21</v>
      </c>
      <c r="J1001" t="s">
        <v>15</v>
      </c>
      <c r="K1001">
        <v>2</v>
      </c>
      <c r="L1001" t="s">
        <v>30</v>
      </c>
      <c r="M1001" t="s">
        <v>32</v>
      </c>
      <c r="N1001">
        <v>53</v>
      </c>
      <c r="O1001" t="s">
        <v>15</v>
      </c>
    </row>
  </sheetData>
  <mergeCells count="2">
    <mergeCell ref="Q22:R22"/>
    <mergeCell ref="T22:U22"/>
  </mergeCell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7E219-FD46-0D45-9911-E6A692ACF7A2}">
  <dimension ref="A1:S106"/>
  <sheetViews>
    <sheetView zoomScale="56" zoomScaleNormal="125" workbookViewId="0">
      <selection activeCell="P54" sqref="P54"/>
      <pivotSelection pane="bottomRight" showHeader="1" extendable="1" activeRow="53" activeCol="15" previousRow="53" previousCol="15" click="1" r:id="rId2">
        <pivotArea dataOnly="0" outline="0" axis="axisValues" fieldPosition="0"/>
      </pivotSelection>
    </sheetView>
  </sheetViews>
  <sheetFormatPr baseColWidth="10" defaultRowHeight="15" x14ac:dyDescent="0.2"/>
  <cols>
    <col min="1" max="1" width="13.1640625" bestFit="1" customWidth="1"/>
    <col min="2" max="2" width="15.6640625" bestFit="1" customWidth="1"/>
    <col min="3" max="3" width="8.1640625" bestFit="1" customWidth="1"/>
    <col min="4" max="4" width="10.1640625" bestFit="1" customWidth="1"/>
    <col min="5" max="5" width="13.83203125" bestFit="1" customWidth="1"/>
    <col min="6" max="6" width="12.5" bestFit="1" customWidth="1"/>
    <col min="9" max="9" width="15.5" bestFit="1" customWidth="1"/>
    <col min="10" max="10" width="15.6640625" bestFit="1" customWidth="1"/>
    <col min="11" max="11" width="9.33203125" bestFit="1" customWidth="1"/>
    <col min="12" max="12" width="10.33203125" bestFit="1" customWidth="1"/>
    <col min="16" max="16" width="13.1640625" bestFit="1" customWidth="1"/>
    <col min="17" max="17" width="15.6640625" bestFit="1" customWidth="1"/>
    <col min="18" max="18" width="7.33203125" bestFit="1" customWidth="1"/>
    <col min="19" max="19" width="10.1640625" bestFit="1" customWidth="1"/>
  </cols>
  <sheetData>
    <row r="1" spans="1:19" ht="19" x14ac:dyDescent="0.25">
      <c r="A1" s="12" t="s">
        <v>56</v>
      </c>
      <c r="B1" s="13"/>
      <c r="C1" s="13"/>
      <c r="P1" s="11" t="s">
        <v>67</v>
      </c>
      <c r="Q1" s="11"/>
      <c r="R1" s="11"/>
      <c r="S1" s="11"/>
    </row>
    <row r="2" spans="1:19" ht="19" x14ac:dyDescent="0.25">
      <c r="I2" s="11" t="s">
        <v>65</v>
      </c>
      <c r="J2" s="11"/>
      <c r="K2" s="11"/>
      <c r="L2" s="11"/>
      <c r="M2" s="11"/>
    </row>
    <row r="3" spans="1:19" x14ac:dyDescent="0.2">
      <c r="A3" s="5" t="s">
        <v>57</v>
      </c>
      <c r="B3" t="s">
        <v>59</v>
      </c>
      <c r="P3" s="5" t="s">
        <v>59</v>
      </c>
      <c r="Q3" s="5" t="s">
        <v>63</v>
      </c>
    </row>
    <row r="4" spans="1:19" x14ac:dyDescent="0.2">
      <c r="A4" s="6" t="s">
        <v>18</v>
      </c>
      <c r="B4">
        <v>10211854</v>
      </c>
      <c r="I4" s="5" t="s">
        <v>59</v>
      </c>
      <c r="J4" s="5" t="s">
        <v>63</v>
      </c>
      <c r="P4" s="5" t="s">
        <v>57</v>
      </c>
      <c r="Q4" t="s">
        <v>18</v>
      </c>
      <c r="R4" t="s">
        <v>15</v>
      </c>
      <c r="S4" t="s">
        <v>58</v>
      </c>
    </row>
    <row r="5" spans="1:19" x14ac:dyDescent="0.2">
      <c r="A5" s="6" t="s">
        <v>15</v>
      </c>
      <c r="B5">
        <v>9754138</v>
      </c>
      <c r="I5" s="5" t="s">
        <v>57</v>
      </c>
      <c r="J5" t="s">
        <v>18</v>
      </c>
      <c r="K5" t="s">
        <v>15</v>
      </c>
      <c r="L5" t="s">
        <v>58</v>
      </c>
      <c r="P5" s="6" t="s">
        <v>16</v>
      </c>
      <c r="Q5" s="7">
        <v>0.43378262131523293</v>
      </c>
      <c r="R5" s="7">
        <v>0.56621737868476707</v>
      </c>
      <c r="S5" s="7">
        <v>1</v>
      </c>
    </row>
    <row r="6" spans="1:19" x14ac:dyDescent="0.2">
      <c r="A6" s="6" t="s">
        <v>58</v>
      </c>
      <c r="B6">
        <v>19965992</v>
      </c>
      <c r="I6" s="6" t="s">
        <v>17</v>
      </c>
      <c r="J6" s="7">
        <v>0.49043114785434067</v>
      </c>
      <c r="K6" s="7">
        <v>0.50956885214565939</v>
      </c>
      <c r="L6" s="7">
        <v>1</v>
      </c>
      <c r="P6" s="6" t="s">
        <v>26</v>
      </c>
      <c r="Q6" s="7">
        <v>0.54117393382812473</v>
      </c>
      <c r="R6" s="7">
        <v>0.45882606617187532</v>
      </c>
      <c r="S6" s="7">
        <v>1</v>
      </c>
    </row>
    <row r="7" spans="1:19" x14ac:dyDescent="0.2">
      <c r="I7" s="6" t="s">
        <v>32</v>
      </c>
      <c r="J7" s="7">
        <v>0.56959444660568792</v>
      </c>
      <c r="K7" s="7">
        <v>0.43040555339431202</v>
      </c>
      <c r="L7" s="7">
        <v>1</v>
      </c>
      <c r="P7" s="6" t="s">
        <v>30</v>
      </c>
      <c r="Q7" s="7">
        <v>0.71935003492898963</v>
      </c>
      <c r="R7" s="7">
        <v>0.28064996507101037</v>
      </c>
      <c r="S7" s="7">
        <v>1</v>
      </c>
    </row>
    <row r="8" spans="1:19" x14ac:dyDescent="0.2">
      <c r="I8" s="6" t="s">
        <v>24</v>
      </c>
      <c r="J8" s="7">
        <v>0.39312340995837863</v>
      </c>
      <c r="K8" s="7">
        <v>0.60687659004162131</v>
      </c>
      <c r="L8" s="7">
        <v>1</v>
      </c>
      <c r="P8" s="6" t="s">
        <v>22</v>
      </c>
      <c r="Q8" s="7">
        <v>0.40214330156603312</v>
      </c>
      <c r="R8" s="7">
        <v>0.59785669843396694</v>
      </c>
      <c r="S8" s="7">
        <v>1</v>
      </c>
    </row>
    <row r="9" spans="1:19" x14ac:dyDescent="0.2">
      <c r="I9" s="6" t="s">
        <v>58</v>
      </c>
      <c r="J9" s="7">
        <v>0.51146239064905963</v>
      </c>
      <c r="K9" s="7">
        <v>0.48853760935094032</v>
      </c>
      <c r="L9" s="7">
        <v>1</v>
      </c>
      <c r="P9" s="6" t="s">
        <v>23</v>
      </c>
      <c r="Q9" s="7">
        <v>0.59942746317541451</v>
      </c>
      <c r="R9" s="7">
        <v>0.40057253682458549</v>
      </c>
      <c r="S9" s="7">
        <v>1</v>
      </c>
    </row>
    <row r="10" spans="1:19" x14ac:dyDescent="0.2">
      <c r="P10" s="6" t="s">
        <v>58</v>
      </c>
      <c r="Q10" s="7">
        <v>0.51146239064905963</v>
      </c>
      <c r="R10" s="7">
        <v>0.48853760935094032</v>
      </c>
      <c r="S10" s="7">
        <v>1</v>
      </c>
    </row>
    <row r="11" spans="1:19" x14ac:dyDescent="0.2">
      <c r="A11" s="12" t="s">
        <v>60</v>
      </c>
      <c r="B11" s="13"/>
      <c r="C11" s="13"/>
      <c r="D11" s="13"/>
      <c r="E11" s="13"/>
      <c r="F11" s="13"/>
    </row>
    <row r="13" spans="1:19" x14ac:dyDescent="0.2">
      <c r="A13" s="5" t="s">
        <v>57</v>
      </c>
      <c r="B13" t="s">
        <v>61</v>
      </c>
    </row>
    <row r="14" spans="1:19" x14ac:dyDescent="0.2">
      <c r="A14" s="6" t="s">
        <v>18</v>
      </c>
      <c r="B14" s="1">
        <v>54874.759152215796</v>
      </c>
    </row>
    <row r="15" spans="1:19" x14ac:dyDescent="0.2">
      <c r="A15" s="6" t="s">
        <v>15</v>
      </c>
      <c r="B15" s="1">
        <v>57962.577962577961</v>
      </c>
    </row>
    <row r="16" spans="1:19" x14ac:dyDescent="0.2">
      <c r="A16" s="6" t="s">
        <v>58</v>
      </c>
      <c r="B16" s="1">
        <v>56360</v>
      </c>
    </row>
    <row r="27" spans="1:19" x14ac:dyDescent="0.2">
      <c r="A27" s="12" t="s">
        <v>62</v>
      </c>
      <c r="B27" s="13"/>
      <c r="C27" s="13"/>
    </row>
    <row r="28" spans="1:19" x14ac:dyDescent="0.2">
      <c r="I28" s="12" t="s">
        <v>66</v>
      </c>
      <c r="J28" s="13"/>
      <c r="K28" s="13"/>
      <c r="L28" s="13"/>
    </row>
    <row r="29" spans="1:19" x14ac:dyDescent="0.2">
      <c r="A29" s="5" t="s">
        <v>59</v>
      </c>
      <c r="B29" s="5" t="s">
        <v>63</v>
      </c>
      <c r="P29" s="12" t="s">
        <v>69</v>
      </c>
      <c r="Q29" s="12"/>
      <c r="R29" s="12"/>
    </row>
    <row r="30" spans="1:19" x14ac:dyDescent="0.2">
      <c r="A30" s="5" t="s">
        <v>57</v>
      </c>
      <c r="B30" t="s">
        <v>18</v>
      </c>
      <c r="C30" t="s">
        <v>15</v>
      </c>
      <c r="D30" t="s">
        <v>58</v>
      </c>
      <c r="I30" s="5" t="s">
        <v>59</v>
      </c>
      <c r="J30" s="5" t="s">
        <v>63</v>
      </c>
    </row>
    <row r="31" spans="1:19" x14ac:dyDescent="0.2">
      <c r="A31" s="6" t="s">
        <v>50</v>
      </c>
      <c r="B31" s="7">
        <v>0.5004597053729275</v>
      </c>
      <c r="C31" s="7">
        <v>0.4995402946270725</v>
      </c>
      <c r="D31" s="7">
        <v>1</v>
      </c>
      <c r="I31" s="5" t="s">
        <v>57</v>
      </c>
      <c r="J31" t="s">
        <v>18</v>
      </c>
      <c r="K31" t="s">
        <v>15</v>
      </c>
      <c r="L31" t="s">
        <v>58</v>
      </c>
      <c r="P31" s="5" t="s">
        <v>68</v>
      </c>
      <c r="Q31" s="5" t="s">
        <v>63</v>
      </c>
    </row>
    <row r="32" spans="1:19" x14ac:dyDescent="0.2">
      <c r="A32" s="10" t="s">
        <v>36</v>
      </c>
      <c r="B32" s="7">
        <v>0.5441763796256659</v>
      </c>
      <c r="C32" s="7">
        <v>0.45582362037433416</v>
      </c>
      <c r="D32" s="7">
        <v>1</v>
      </c>
      <c r="I32" s="6" t="s">
        <v>13</v>
      </c>
      <c r="J32" s="7">
        <v>0.43127396300871929</v>
      </c>
      <c r="K32" s="7">
        <v>0.56872603699128066</v>
      </c>
      <c r="L32" s="7">
        <v>1</v>
      </c>
      <c r="P32" s="5" t="s">
        <v>57</v>
      </c>
      <c r="Q32" t="s">
        <v>18</v>
      </c>
      <c r="R32" t="s">
        <v>15</v>
      </c>
      <c r="S32" t="s">
        <v>58</v>
      </c>
    </row>
    <row r="33" spans="1:19" x14ac:dyDescent="0.2">
      <c r="A33" s="10" t="s">
        <v>54</v>
      </c>
      <c r="B33" s="7">
        <v>0.46140724310260078</v>
      </c>
      <c r="C33" s="7">
        <v>0.53859275689739916</v>
      </c>
      <c r="D33" s="7">
        <v>1</v>
      </c>
      <c r="I33" s="6" t="s">
        <v>31</v>
      </c>
      <c r="J33" s="7">
        <v>0.43703408684158163</v>
      </c>
      <c r="K33" s="7">
        <v>0.56296591315841837</v>
      </c>
      <c r="L33" s="7">
        <v>1</v>
      </c>
      <c r="P33" s="6" t="s">
        <v>13</v>
      </c>
      <c r="Q33" s="15">
        <v>137</v>
      </c>
      <c r="R33" s="15">
        <v>169</v>
      </c>
      <c r="S33" s="15">
        <v>306</v>
      </c>
    </row>
    <row r="34" spans="1:19" x14ac:dyDescent="0.2">
      <c r="A34" s="6" t="s">
        <v>51</v>
      </c>
      <c r="B34" s="7">
        <v>0.52200160446701194</v>
      </c>
      <c r="C34" s="7">
        <v>0.47799839553298812</v>
      </c>
      <c r="D34" s="7">
        <v>1</v>
      </c>
      <c r="I34" s="6" t="s">
        <v>27</v>
      </c>
      <c r="J34" s="7">
        <v>0.57242030782440168</v>
      </c>
      <c r="K34" s="7">
        <v>0.42757969217559838</v>
      </c>
      <c r="L34" s="7">
        <v>1</v>
      </c>
      <c r="P34" s="10" t="s">
        <v>50</v>
      </c>
      <c r="Q34" s="15">
        <v>66</v>
      </c>
      <c r="R34" s="15">
        <v>80</v>
      </c>
      <c r="S34" s="15">
        <v>146</v>
      </c>
    </row>
    <row r="35" spans="1:19" x14ac:dyDescent="0.2">
      <c r="A35" s="10" t="s">
        <v>36</v>
      </c>
      <c r="B35" s="7">
        <v>0.59318652175743281</v>
      </c>
      <c r="C35" s="7">
        <v>0.40681347824256725</v>
      </c>
      <c r="D35" s="7">
        <v>1</v>
      </c>
      <c r="I35" s="6" t="s">
        <v>19</v>
      </c>
      <c r="J35" s="7">
        <v>0.53526344915088075</v>
      </c>
      <c r="K35" s="7">
        <v>0.46473655084911925</v>
      </c>
      <c r="L35" s="7">
        <v>1</v>
      </c>
      <c r="P35" s="10" t="s">
        <v>51</v>
      </c>
      <c r="Q35" s="15">
        <v>71</v>
      </c>
      <c r="R35" s="15">
        <v>89</v>
      </c>
      <c r="S35" s="15">
        <v>160</v>
      </c>
    </row>
    <row r="36" spans="1:19" x14ac:dyDescent="0.2">
      <c r="A36" s="10" t="s">
        <v>54</v>
      </c>
      <c r="B36" s="7">
        <v>0.42825591315520123</v>
      </c>
      <c r="C36" s="7">
        <v>0.57174408684479883</v>
      </c>
      <c r="D36" s="7">
        <v>1</v>
      </c>
      <c r="I36" s="6" t="s">
        <v>29</v>
      </c>
      <c r="J36" s="7">
        <v>0.75242727578267254</v>
      </c>
      <c r="K36" s="7">
        <v>0.2475727242173274</v>
      </c>
      <c r="L36" s="7">
        <v>1</v>
      </c>
      <c r="P36" s="6" t="s">
        <v>31</v>
      </c>
      <c r="Q36" s="15">
        <v>80</v>
      </c>
      <c r="R36" s="15">
        <v>94</v>
      </c>
      <c r="S36" s="15">
        <v>174</v>
      </c>
    </row>
    <row r="37" spans="1:19" x14ac:dyDescent="0.2">
      <c r="A37" s="6" t="s">
        <v>58</v>
      </c>
      <c r="B37" s="7">
        <v>0.51146239064905963</v>
      </c>
      <c r="C37" s="7">
        <v>0.48853760935094032</v>
      </c>
      <c r="D37" s="7">
        <v>1</v>
      </c>
      <c r="I37" s="6" t="s">
        <v>58</v>
      </c>
      <c r="J37" s="7">
        <v>0.51146239064905963</v>
      </c>
      <c r="K37" s="7">
        <v>0.48853760935094032</v>
      </c>
      <c r="L37" s="7">
        <v>1</v>
      </c>
      <c r="P37" s="10" t="s">
        <v>50</v>
      </c>
      <c r="Q37" s="15">
        <v>40</v>
      </c>
      <c r="R37" s="15">
        <v>53</v>
      </c>
      <c r="S37" s="15">
        <v>93</v>
      </c>
    </row>
    <row r="38" spans="1:19" x14ac:dyDescent="0.2">
      <c r="P38" s="10" t="s">
        <v>51</v>
      </c>
      <c r="Q38" s="15">
        <v>40</v>
      </c>
      <c r="R38" s="15">
        <v>41</v>
      </c>
      <c r="S38" s="15">
        <v>81</v>
      </c>
    </row>
    <row r="39" spans="1:19" x14ac:dyDescent="0.2">
      <c r="P39" s="6" t="s">
        <v>27</v>
      </c>
      <c r="Q39" s="15">
        <v>100</v>
      </c>
      <c r="R39" s="15">
        <v>79</v>
      </c>
      <c r="S39" s="15">
        <v>179</v>
      </c>
    </row>
    <row r="40" spans="1:19" x14ac:dyDescent="0.2">
      <c r="P40" s="10" t="s">
        <v>50</v>
      </c>
      <c r="Q40" s="15">
        <v>46</v>
      </c>
      <c r="R40" s="15">
        <v>34</v>
      </c>
      <c r="S40" s="15">
        <v>80</v>
      </c>
    </row>
    <row r="41" spans="1:19" x14ac:dyDescent="0.2">
      <c r="P41" s="10" t="s">
        <v>51</v>
      </c>
      <c r="Q41" s="15">
        <v>54</v>
      </c>
      <c r="R41" s="15">
        <v>45</v>
      </c>
      <c r="S41" s="15">
        <v>99</v>
      </c>
    </row>
    <row r="42" spans="1:19" x14ac:dyDescent="0.2">
      <c r="P42" s="6" t="s">
        <v>19</v>
      </c>
      <c r="Q42" s="15">
        <v>146</v>
      </c>
      <c r="R42" s="15">
        <v>119</v>
      </c>
      <c r="S42" s="15">
        <v>265</v>
      </c>
    </row>
    <row r="43" spans="1:19" x14ac:dyDescent="0.2">
      <c r="P43" s="10" t="s">
        <v>50</v>
      </c>
      <c r="Q43" s="15">
        <v>70</v>
      </c>
      <c r="R43" s="15">
        <v>62</v>
      </c>
      <c r="S43" s="15">
        <v>132</v>
      </c>
    </row>
    <row r="44" spans="1:19" x14ac:dyDescent="0.2">
      <c r="P44" s="10" t="s">
        <v>51</v>
      </c>
      <c r="Q44" s="15">
        <v>76</v>
      </c>
      <c r="R44" s="15">
        <v>57</v>
      </c>
      <c r="S44" s="15">
        <v>133</v>
      </c>
    </row>
    <row r="45" spans="1:19" x14ac:dyDescent="0.2">
      <c r="P45" s="6" t="s">
        <v>29</v>
      </c>
      <c r="Q45" s="15">
        <v>56</v>
      </c>
      <c r="R45" s="15">
        <v>20</v>
      </c>
      <c r="S45" s="15">
        <v>76</v>
      </c>
    </row>
    <row r="46" spans="1:19" x14ac:dyDescent="0.2">
      <c r="P46" s="10" t="s">
        <v>50</v>
      </c>
      <c r="Q46" s="15">
        <v>28</v>
      </c>
      <c r="R46" s="15">
        <v>10</v>
      </c>
      <c r="S46" s="15">
        <v>38</v>
      </c>
    </row>
    <row r="47" spans="1:19" x14ac:dyDescent="0.2">
      <c r="P47" s="10" t="s">
        <v>51</v>
      </c>
      <c r="Q47" s="15">
        <v>28</v>
      </c>
      <c r="R47" s="15">
        <v>10</v>
      </c>
      <c r="S47" s="15">
        <v>38</v>
      </c>
    </row>
    <row r="48" spans="1:19" x14ac:dyDescent="0.2">
      <c r="P48" s="6" t="s">
        <v>58</v>
      </c>
      <c r="Q48" s="15">
        <v>519</v>
      </c>
      <c r="R48" s="15">
        <v>481</v>
      </c>
      <c r="S48" s="15">
        <v>1000</v>
      </c>
    </row>
    <row r="49" spans="1:16" x14ac:dyDescent="0.2">
      <c r="A49" s="13" t="s">
        <v>64</v>
      </c>
      <c r="B49" s="13"/>
      <c r="C49" s="13"/>
      <c r="D49" s="13"/>
    </row>
    <row r="51" spans="1:16" x14ac:dyDescent="0.2">
      <c r="A51" s="5" t="s">
        <v>59</v>
      </c>
      <c r="B51" s="5" t="s">
        <v>63</v>
      </c>
    </row>
    <row r="52" spans="1:16" x14ac:dyDescent="0.2">
      <c r="A52" s="5" t="s">
        <v>57</v>
      </c>
      <c r="B52" t="s">
        <v>18</v>
      </c>
      <c r="C52" t="s">
        <v>15</v>
      </c>
      <c r="D52" t="s">
        <v>58</v>
      </c>
    </row>
    <row r="53" spans="1:16" x14ac:dyDescent="0.2">
      <c r="A53" s="6">
        <v>25</v>
      </c>
      <c r="B53" s="7">
        <v>0.24381019320397285</v>
      </c>
      <c r="C53" s="7">
        <v>0.7561898067960271</v>
      </c>
      <c r="D53" s="7">
        <v>1</v>
      </c>
    </row>
    <row r="54" spans="1:16" x14ac:dyDescent="0.2">
      <c r="A54" s="6">
        <v>26</v>
      </c>
      <c r="B54" s="7">
        <v>0.46121419630365951</v>
      </c>
      <c r="C54" s="7">
        <v>0.53878580369634044</v>
      </c>
      <c r="D54" s="7">
        <v>1</v>
      </c>
      <c r="P54" t="s">
        <v>70</v>
      </c>
    </row>
    <row r="55" spans="1:16" x14ac:dyDescent="0.2">
      <c r="A55" s="6">
        <v>27</v>
      </c>
      <c r="B55" s="7">
        <v>0.6766544451601183</v>
      </c>
      <c r="C55" s="7">
        <v>0.32334555483988175</v>
      </c>
      <c r="D55" s="7">
        <v>1</v>
      </c>
      <c r="P55" s="7">
        <v>1</v>
      </c>
    </row>
    <row r="56" spans="1:16" x14ac:dyDescent="0.2">
      <c r="A56" s="6">
        <v>28</v>
      </c>
      <c r="B56" s="7">
        <v>0.51003946388337562</v>
      </c>
      <c r="C56" s="7">
        <v>0.48996053611662432</v>
      </c>
      <c r="D56" s="7">
        <v>1</v>
      </c>
    </row>
    <row r="57" spans="1:16" x14ac:dyDescent="0.2">
      <c r="A57" s="6">
        <v>29</v>
      </c>
      <c r="B57" s="7">
        <v>0.64742087415831306</v>
      </c>
      <c r="C57" s="7">
        <v>0.35257912584168688</v>
      </c>
      <c r="D57" s="7">
        <v>1</v>
      </c>
    </row>
    <row r="58" spans="1:16" x14ac:dyDescent="0.2">
      <c r="A58" s="6">
        <v>30</v>
      </c>
      <c r="B58" s="7">
        <v>0.85050757891809203</v>
      </c>
      <c r="C58" s="7">
        <v>0.14949242108190794</v>
      </c>
      <c r="D58" s="7">
        <v>1</v>
      </c>
    </row>
    <row r="59" spans="1:16" x14ac:dyDescent="0.2">
      <c r="A59" s="6">
        <v>31</v>
      </c>
      <c r="B59" s="7">
        <v>0.67975864518768014</v>
      </c>
      <c r="C59" s="7">
        <v>0.3202413548123198</v>
      </c>
      <c r="D59" s="7">
        <v>1</v>
      </c>
      <c r="P59" t="s">
        <v>70</v>
      </c>
    </row>
    <row r="60" spans="1:16" x14ac:dyDescent="0.2">
      <c r="A60" s="6">
        <v>32</v>
      </c>
      <c r="B60" s="7">
        <v>0.55176861169444413</v>
      </c>
      <c r="C60" s="7">
        <v>0.44823138830555587</v>
      </c>
      <c r="D60" s="7">
        <v>1</v>
      </c>
      <c r="P60" s="7">
        <v>1</v>
      </c>
    </row>
    <row r="61" spans="1:16" x14ac:dyDescent="0.2">
      <c r="A61" s="6">
        <v>33</v>
      </c>
      <c r="B61" s="7">
        <v>0.33778449108981734</v>
      </c>
      <c r="C61" s="7">
        <v>0.66221550891018266</v>
      </c>
      <c r="D61" s="7">
        <v>1</v>
      </c>
    </row>
    <row r="62" spans="1:16" x14ac:dyDescent="0.2">
      <c r="A62" s="6">
        <v>34</v>
      </c>
      <c r="B62" s="7">
        <v>0.34508854029700364</v>
      </c>
      <c r="C62" s="7">
        <v>0.65491145970299636</v>
      </c>
      <c r="D62" s="7">
        <v>1</v>
      </c>
    </row>
    <row r="63" spans="1:16" x14ac:dyDescent="0.2">
      <c r="A63" s="6">
        <v>35</v>
      </c>
      <c r="B63" s="7">
        <v>0.35313878332269966</v>
      </c>
      <c r="C63" s="7">
        <v>0.64686121667730034</v>
      </c>
      <c r="D63" s="7">
        <v>1</v>
      </c>
    </row>
    <row r="64" spans="1:16" x14ac:dyDescent="0.2">
      <c r="A64" s="6">
        <v>36</v>
      </c>
      <c r="B64" s="7">
        <v>0.12341306548047119</v>
      </c>
      <c r="C64" s="7">
        <v>0.87658693451952885</v>
      </c>
      <c r="D64" s="7">
        <v>1</v>
      </c>
    </row>
    <row r="65" spans="1:4" x14ac:dyDescent="0.2">
      <c r="A65" s="6">
        <v>37</v>
      </c>
      <c r="B65" s="7">
        <v>0.1029580202029159</v>
      </c>
      <c r="C65" s="7">
        <v>0.89704197979708411</v>
      </c>
      <c r="D65" s="7">
        <v>1</v>
      </c>
    </row>
    <row r="66" spans="1:4" x14ac:dyDescent="0.2">
      <c r="A66" s="6">
        <v>38</v>
      </c>
      <c r="B66" s="7">
        <v>0.19299864255791549</v>
      </c>
      <c r="C66" s="7">
        <v>0.80700135744208445</v>
      </c>
      <c r="D66" s="7">
        <v>1</v>
      </c>
    </row>
    <row r="67" spans="1:4" x14ac:dyDescent="0.2">
      <c r="A67" s="6">
        <v>39</v>
      </c>
      <c r="B67" s="7">
        <v>0.41770811365907778</v>
      </c>
      <c r="C67" s="7">
        <v>0.58229188634092222</v>
      </c>
      <c r="D67" s="7">
        <v>1</v>
      </c>
    </row>
    <row r="68" spans="1:4" x14ac:dyDescent="0.2">
      <c r="A68" s="6">
        <v>40</v>
      </c>
      <c r="B68" s="7">
        <v>0.57566381184299187</v>
      </c>
      <c r="C68" s="7">
        <v>0.42433618815700813</v>
      </c>
      <c r="D68" s="7">
        <v>1</v>
      </c>
    </row>
    <row r="69" spans="1:4" x14ac:dyDescent="0.2">
      <c r="A69" s="6">
        <v>41</v>
      </c>
      <c r="B69" s="7">
        <v>0.48323349776838148</v>
      </c>
      <c r="C69" s="7">
        <v>0.51676650223161846</v>
      </c>
      <c r="D69" s="7">
        <v>1</v>
      </c>
    </row>
    <row r="70" spans="1:4" x14ac:dyDescent="0.2">
      <c r="A70" s="6">
        <v>42</v>
      </c>
      <c r="B70" s="7">
        <v>0.66285889224378558</v>
      </c>
      <c r="C70" s="7">
        <v>0.33714110775621442</v>
      </c>
      <c r="D70" s="7">
        <v>1</v>
      </c>
    </row>
    <row r="71" spans="1:4" x14ac:dyDescent="0.2">
      <c r="A71" s="6">
        <v>43</v>
      </c>
      <c r="B71" s="7">
        <v>0.47309039374864109</v>
      </c>
      <c r="C71" s="7">
        <v>0.52690960625135885</v>
      </c>
      <c r="D71" s="7">
        <v>1</v>
      </c>
    </row>
    <row r="72" spans="1:4" x14ac:dyDescent="0.2">
      <c r="A72" s="6">
        <v>44</v>
      </c>
      <c r="B72" s="7">
        <v>0.54725801780931005</v>
      </c>
      <c r="C72" s="7">
        <v>0.45274198219068995</v>
      </c>
      <c r="D72" s="7">
        <v>1</v>
      </c>
    </row>
    <row r="73" spans="1:4" x14ac:dyDescent="0.2">
      <c r="A73" s="6">
        <v>45</v>
      </c>
      <c r="B73" s="7">
        <v>0.5820482639852963</v>
      </c>
      <c r="C73" s="7">
        <v>0.4179517360147037</v>
      </c>
      <c r="D73" s="7">
        <v>1</v>
      </c>
    </row>
    <row r="74" spans="1:4" x14ac:dyDescent="0.2">
      <c r="A74" s="6">
        <v>46</v>
      </c>
      <c r="B74" s="7">
        <v>0.41680362934516585</v>
      </c>
      <c r="C74" s="7">
        <v>0.58319637065483421</v>
      </c>
      <c r="D74" s="7">
        <v>1</v>
      </c>
    </row>
    <row r="75" spans="1:4" x14ac:dyDescent="0.2">
      <c r="A75" s="6">
        <v>47</v>
      </c>
      <c r="B75" s="7">
        <v>0.48110597353540707</v>
      </c>
      <c r="C75" s="7">
        <v>0.51889402646459293</v>
      </c>
      <c r="D75" s="7">
        <v>1</v>
      </c>
    </row>
    <row r="76" spans="1:4" x14ac:dyDescent="0.2">
      <c r="A76" s="6">
        <v>48</v>
      </c>
      <c r="B76" s="7">
        <v>0.59451357675508587</v>
      </c>
      <c r="C76" s="7">
        <v>0.40548642324491413</v>
      </c>
      <c r="D76" s="7">
        <v>1</v>
      </c>
    </row>
    <row r="77" spans="1:4" x14ac:dyDescent="0.2">
      <c r="A77" s="6">
        <v>49</v>
      </c>
      <c r="B77" s="7">
        <v>0.7137213926855307</v>
      </c>
      <c r="C77" s="7">
        <v>0.2862786073144693</v>
      </c>
      <c r="D77" s="7">
        <v>1</v>
      </c>
    </row>
    <row r="78" spans="1:4" x14ac:dyDescent="0.2">
      <c r="A78" s="6">
        <v>50</v>
      </c>
      <c r="B78" s="7">
        <v>0.56427213513260821</v>
      </c>
      <c r="C78" s="7">
        <v>0.43572786486739179</v>
      </c>
      <c r="D78" s="7">
        <v>1</v>
      </c>
    </row>
    <row r="79" spans="1:4" x14ac:dyDescent="0.2">
      <c r="A79" s="6">
        <v>51</v>
      </c>
      <c r="B79" s="7">
        <v>0.48568577237090105</v>
      </c>
      <c r="C79" s="7">
        <v>0.51431422762909895</v>
      </c>
      <c r="D79" s="7">
        <v>1</v>
      </c>
    </row>
    <row r="80" spans="1:4" x14ac:dyDescent="0.2">
      <c r="A80" s="6">
        <v>52</v>
      </c>
      <c r="B80" s="7">
        <v>0.40499213637055453</v>
      </c>
      <c r="C80" s="7">
        <v>0.59500786362944547</v>
      </c>
      <c r="D80" s="7">
        <v>1</v>
      </c>
    </row>
    <row r="81" spans="1:4" x14ac:dyDescent="0.2">
      <c r="A81" s="6">
        <v>53</v>
      </c>
      <c r="B81" s="7">
        <v>0.4744197547209118</v>
      </c>
      <c r="C81" s="7">
        <v>0.5255802452790882</v>
      </c>
      <c r="D81" s="7">
        <v>1</v>
      </c>
    </row>
    <row r="82" spans="1:4" x14ac:dyDescent="0.2">
      <c r="A82" s="6">
        <v>54</v>
      </c>
      <c r="B82" s="7">
        <v>0.35249077646186761</v>
      </c>
      <c r="C82" s="7">
        <v>0.64750922353813234</v>
      </c>
      <c r="D82" s="7">
        <v>1</v>
      </c>
    </row>
    <row r="83" spans="1:4" x14ac:dyDescent="0.2">
      <c r="A83" s="6">
        <v>55</v>
      </c>
      <c r="B83" s="7">
        <v>0.67691145095159044</v>
      </c>
      <c r="C83" s="7">
        <v>0.32308854904840956</v>
      </c>
      <c r="D83" s="7">
        <v>1</v>
      </c>
    </row>
    <row r="84" spans="1:4" x14ac:dyDescent="0.2">
      <c r="A84" s="6">
        <v>56</v>
      </c>
      <c r="B84" s="7">
        <v>0.84519678554342359</v>
      </c>
      <c r="C84" s="7">
        <v>0.15480321445657638</v>
      </c>
      <c r="D84" s="7">
        <v>1</v>
      </c>
    </row>
    <row r="85" spans="1:4" x14ac:dyDescent="0.2">
      <c r="A85" s="6">
        <v>57</v>
      </c>
      <c r="B85" s="7">
        <v>0.55733911876649878</v>
      </c>
      <c r="C85" s="7">
        <v>0.44266088123350117</v>
      </c>
      <c r="D85" s="7">
        <v>1</v>
      </c>
    </row>
    <row r="86" spans="1:4" x14ac:dyDescent="0.2">
      <c r="A86" s="6">
        <v>58</v>
      </c>
      <c r="B86" s="7">
        <v>0.64398263676165146</v>
      </c>
      <c r="C86" s="7">
        <v>0.35601736323834854</v>
      </c>
      <c r="D86" s="7">
        <v>1</v>
      </c>
    </row>
    <row r="87" spans="1:4" x14ac:dyDescent="0.2">
      <c r="A87" s="6">
        <v>59</v>
      </c>
      <c r="B87" s="7">
        <v>0.63494962928308785</v>
      </c>
      <c r="C87" s="7">
        <v>0.3650503707169121</v>
      </c>
      <c r="D87" s="7">
        <v>1</v>
      </c>
    </row>
    <row r="88" spans="1:4" x14ac:dyDescent="0.2">
      <c r="A88" s="6">
        <v>60</v>
      </c>
      <c r="B88" s="7">
        <v>0.48256303233383785</v>
      </c>
      <c r="C88" s="7">
        <v>0.5174369676661621</v>
      </c>
      <c r="D88" s="7">
        <v>1</v>
      </c>
    </row>
    <row r="89" spans="1:4" x14ac:dyDescent="0.2">
      <c r="A89" s="6">
        <v>61</v>
      </c>
      <c r="B89" s="7">
        <v>0.56834122283080124</v>
      </c>
      <c r="C89" s="7">
        <v>0.43165877716919876</v>
      </c>
      <c r="D89" s="7">
        <v>1</v>
      </c>
    </row>
    <row r="90" spans="1:4" x14ac:dyDescent="0.2">
      <c r="A90" s="6">
        <v>62</v>
      </c>
      <c r="B90" s="7">
        <v>0.68195275478542283</v>
      </c>
      <c r="C90" s="7">
        <v>0.31804724521457722</v>
      </c>
      <c r="D90" s="7">
        <v>1</v>
      </c>
    </row>
    <row r="91" spans="1:4" x14ac:dyDescent="0.2">
      <c r="A91" s="6">
        <v>63</v>
      </c>
      <c r="B91" s="7">
        <v>0.78285019686599899</v>
      </c>
      <c r="C91" s="7">
        <v>0.21714980313400101</v>
      </c>
      <c r="D91" s="7">
        <v>1</v>
      </c>
    </row>
    <row r="92" spans="1:4" x14ac:dyDescent="0.2">
      <c r="A92" s="6">
        <v>64</v>
      </c>
      <c r="B92" s="7">
        <v>0.67419463999423057</v>
      </c>
      <c r="C92" s="7">
        <v>0.32580536000576943</v>
      </c>
      <c r="D92" s="7">
        <v>1</v>
      </c>
    </row>
    <row r="93" spans="1:4" x14ac:dyDescent="0.2">
      <c r="A93" s="6">
        <v>65</v>
      </c>
      <c r="B93" s="7">
        <v>0.57527669167186724</v>
      </c>
      <c r="C93" s="7">
        <v>0.42472330832813276</v>
      </c>
      <c r="D93" s="7">
        <v>1</v>
      </c>
    </row>
    <row r="94" spans="1:4" x14ac:dyDescent="0.2">
      <c r="A94" s="6">
        <v>66</v>
      </c>
      <c r="B94" s="7">
        <v>0.61967786157186744</v>
      </c>
      <c r="C94" s="7">
        <v>0.38032213842813256</v>
      </c>
      <c r="D94" s="7">
        <v>1</v>
      </c>
    </row>
    <row r="95" spans="1:4" x14ac:dyDescent="0.2">
      <c r="A95" s="6">
        <v>67</v>
      </c>
      <c r="B95" s="7">
        <v>0.83280771361072492</v>
      </c>
      <c r="C95" s="7">
        <v>0.16719228638927511</v>
      </c>
      <c r="D95" s="7">
        <v>1</v>
      </c>
    </row>
    <row r="96" spans="1:4" x14ac:dyDescent="0.2">
      <c r="A96" s="6">
        <v>68</v>
      </c>
      <c r="B96" s="7">
        <v>1</v>
      </c>
      <c r="C96" s="7">
        <v>0</v>
      </c>
      <c r="D96" s="7">
        <v>1</v>
      </c>
    </row>
    <row r="97" spans="1:4" x14ac:dyDescent="0.2">
      <c r="A97" s="6">
        <v>69</v>
      </c>
      <c r="B97" s="7">
        <v>1</v>
      </c>
      <c r="C97" s="7">
        <v>0</v>
      </c>
      <c r="D97" s="7">
        <v>1</v>
      </c>
    </row>
    <row r="98" spans="1:4" x14ac:dyDescent="0.2">
      <c r="A98" s="6">
        <v>70</v>
      </c>
      <c r="B98" s="7">
        <v>0.84528698309617034</v>
      </c>
      <c r="C98" s="7">
        <v>0.15471301690382963</v>
      </c>
      <c r="D98" s="7">
        <v>1</v>
      </c>
    </row>
    <row r="99" spans="1:4" x14ac:dyDescent="0.2">
      <c r="A99" s="6">
        <v>71</v>
      </c>
      <c r="B99" s="7">
        <v>1</v>
      </c>
      <c r="C99" s="7">
        <v>0</v>
      </c>
      <c r="D99" s="7">
        <v>1</v>
      </c>
    </row>
    <row r="100" spans="1:4" x14ac:dyDescent="0.2">
      <c r="A100" s="6">
        <v>72</v>
      </c>
      <c r="B100" s="7">
        <v>0</v>
      </c>
      <c r="C100" s="7">
        <v>1</v>
      </c>
      <c r="D100" s="7">
        <v>1</v>
      </c>
    </row>
    <row r="101" spans="1:4" x14ac:dyDescent="0.2">
      <c r="A101" s="6">
        <v>73</v>
      </c>
      <c r="B101" s="7">
        <v>0.45355345634325062</v>
      </c>
      <c r="C101" s="7">
        <v>0.54644654365674938</v>
      </c>
      <c r="D101" s="7">
        <v>1</v>
      </c>
    </row>
    <row r="102" spans="1:4" x14ac:dyDescent="0.2">
      <c r="A102" s="6">
        <v>74</v>
      </c>
      <c r="B102" s="7">
        <v>0</v>
      </c>
      <c r="C102" s="7">
        <v>1</v>
      </c>
      <c r="D102" s="7">
        <v>1</v>
      </c>
    </row>
    <row r="103" spans="1:4" x14ac:dyDescent="0.2">
      <c r="A103" s="6">
        <v>78</v>
      </c>
      <c r="B103" s="7">
        <v>0.44055722266949671</v>
      </c>
      <c r="C103" s="7">
        <v>0.55944277733050329</v>
      </c>
      <c r="D103" s="7">
        <v>1</v>
      </c>
    </row>
    <row r="104" spans="1:4" x14ac:dyDescent="0.2">
      <c r="A104" s="6">
        <v>80</v>
      </c>
      <c r="B104" s="7">
        <v>1</v>
      </c>
      <c r="C104" s="7">
        <v>0</v>
      </c>
      <c r="D104" s="7">
        <v>1</v>
      </c>
    </row>
    <row r="105" spans="1:4" x14ac:dyDescent="0.2">
      <c r="A105" s="6">
        <v>89</v>
      </c>
      <c r="B105" s="7">
        <v>1</v>
      </c>
      <c r="C105" s="7">
        <v>0</v>
      </c>
      <c r="D105" s="7">
        <v>1</v>
      </c>
    </row>
    <row r="106" spans="1:4" x14ac:dyDescent="0.2">
      <c r="A106" s="6" t="s">
        <v>58</v>
      </c>
      <c r="B106" s="7">
        <v>0.51146239064905963</v>
      </c>
      <c r="C106" s="7">
        <v>0.48853760935094032</v>
      </c>
      <c r="D106" s="7">
        <v>1</v>
      </c>
    </row>
  </sheetData>
  <mergeCells count="8">
    <mergeCell ref="P1:S1"/>
    <mergeCell ref="A1:C1"/>
    <mergeCell ref="A11:F11"/>
    <mergeCell ref="A27:C27"/>
    <mergeCell ref="A49:D49"/>
    <mergeCell ref="I2:M2"/>
    <mergeCell ref="I28:L28"/>
    <mergeCell ref="P29:R29"/>
  </mergeCells>
  <conditionalFormatting pivot="1" sqref="J32:L37">
    <cfRule type="iconSet" priority="1">
      <iconSet iconSet="4Arrows">
        <cfvo type="percent" val="0"/>
        <cfvo type="percent" val="25"/>
        <cfvo type="percent" val="50"/>
        <cfvo type="percent" val="75"/>
      </iconSet>
    </cfRule>
  </conditionalFormatting>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F0F57-84F6-9A4B-9D8B-F32DCF1F3855}">
  <dimension ref="A1"/>
  <sheetViews>
    <sheetView tabSelected="1" zoomScale="89" workbookViewId="0">
      <selection activeCell="Q45" sqref="Q45"/>
    </sheetView>
  </sheetViews>
  <sheetFormatPr baseColWidth="10" defaultRowHeight="15" x14ac:dyDescent="0.2"/>
  <cols>
    <col min="1" max="16384" width="10.83203125" style="9"/>
  </cols>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Sheet2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ADESHOLA VICTOR AKEHINMI</cp:lastModifiedBy>
  <dcterms:created xsi:type="dcterms:W3CDTF">2022-03-18T02:50:57Z</dcterms:created>
  <dcterms:modified xsi:type="dcterms:W3CDTF">2025-11-10T15:03:17Z</dcterms:modified>
</cp:coreProperties>
</file>